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b48469f2b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8308e367ca540e0"/>
    <x:sheet xmlns:r="http://schemas.openxmlformats.org/officeDocument/2006/relationships" name="Setup Checklist" sheetId="2" r:id="R02d863a6230d4e5b"/>
    <x:sheet xmlns:r="http://schemas.openxmlformats.org/officeDocument/2006/relationships" name="Transactions" sheetId="3" r:id="R6e433e74dbd24fae"/>
    <x:sheet xmlns:r="http://schemas.openxmlformats.org/officeDocument/2006/relationships" name="Subscriptions" sheetId="4" r:id="Re0a84e72fe07488f"/>
    <x:sheet xmlns:r="http://schemas.openxmlformats.org/officeDocument/2006/relationships" name="Assets" sheetId="5" r:id="Rf8a2ba6f30294ca9"/>
    <x:sheet xmlns:r="http://schemas.openxmlformats.org/officeDocument/2006/relationships" name="Home Office" sheetId="6" r:id="R64c6f9f9d377495d"/>
    <x:sheet xmlns:r="http://schemas.openxmlformats.org/officeDocument/2006/relationships" name="IP &amp; Software" sheetId="7" r:id="Rfc1c8c7a348d4081"/>
    <x:sheet xmlns:r="http://schemas.openxmlformats.org/officeDocument/2006/relationships" name="CPA Packet" sheetId="8" r:id="Ree510229828c412d"/>
    <x:sheet xmlns:r="http://schemas.openxmlformats.org/officeDocument/2006/relationships" name="Sources" sheetId="9" r:id="R29764e222b0c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$#,##0.00"/>
    <x:numFmt numFmtId="202" formatCode="0%"/>
    <x:numFmt numFmtId="203" formatCode="0.0%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3A5F"/>
      </x:patternFill>
    </x:fill>
    <x:fill>
      <x:patternFill patternType="solid">
        <x:fgColor rgb="EFF6FF"/>
      </x:patternFill>
    </x:fill>
    <x:fill>
      <x:patternFill patternType="solid">
        <x:fgColor rgb="ECFDF5"/>
      </x:patternFill>
    </x:fill>
  </x:fills>
  <x:borders count="11">
    <x:border/>
    <x:border>
      <x:bottom>
        <x:color rgb="FFFFFF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  <x:bottom>
        <x:color rgb="FFFFFF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FFFFFF"/>
      </x:bottom>
    </x:border>
    <x:border>
      <x:left>
        <x:color rgb="CBD5E1"/>
      </x:left>
      <x:top>
        <x:color rgb="CBD5E1"/>
      </x:top>
      <x:bottom>
        <x:color rgb="FFFFF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0" fontId="4" fillId="4" borderId="6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9aa353cfe437f" /><Relationship Type="http://schemas.openxmlformats.org/officeDocument/2006/relationships/theme" Target="/xl/theme/theme1.xml" Id="R07b1083e65d24269" /><Relationship Type="http://schemas.openxmlformats.org/officeDocument/2006/relationships/sharedStrings" Target="/xl/sharedStrings.xml" Id="R7d9c9d292b3f4b3e" /><Relationship Type="http://schemas.openxmlformats.org/officeDocument/2006/relationships/worksheet" Target="/xl/worksheets/sheet1.xml" Id="R38308e367ca540e0" /><Relationship Type="http://schemas.openxmlformats.org/officeDocument/2006/relationships/worksheet" Target="/xl/worksheets/sheet2.xml" Id="R02d863a6230d4e5b" /><Relationship Type="http://schemas.openxmlformats.org/officeDocument/2006/relationships/worksheet" Target="/xl/worksheets/sheet3.xml" Id="R6e433e74dbd24fae" /><Relationship Type="http://schemas.openxmlformats.org/officeDocument/2006/relationships/worksheet" Target="/xl/worksheets/sheet4.xml" Id="Re0a84e72fe07488f" /><Relationship Type="http://schemas.openxmlformats.org/officeDocument/2006/relationships/worksheet" Target="/xl/worksheets/sheet5.xml" Id="Rf8a2ba6f30294ca9" /><Relationship Type="http://schemas.openxmlformats.org/officeDocument/2006/relationships/worksheet" Target="/xl/worksheets/sheet6.xml" Id="R64c6f9f9d377495d" /><Relationship Type="http://schemas.openxmlformats.org/officeDocument/2006/relationships/worksheet" Target="/xl/worksheets/sheet7.xml" Id="Rfc1c8c7a348d4081" /><Relationship Type="http://schemas.openxmlformats.org/officeDocument/2006/relationships/worksheet" Target="/xl/worksheets/sheet8.xml" Id="Ree510229828c412d" /><Relationship Type="http://schemas.openxmlformats.org/officeDocument/2006/relationships/worksheet" Target="/xl/worksheets/sheet9.xml" Id="R29764e222b0c44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7bd157808c43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Setup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'Dashboard'!$J$4:$J$7</c:f>
              <c:strCache>
                <c:ptCount val="0"/>
              </c:strCache>
            </c:strRef>
          </c:cat>
          <c:val>
            <c:numRef>
              <c:f>'Dashboard'!$K$4:$K$7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7bd157808c43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8f042e28a844e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4" hidden="0" customWidth="1"/>
    <x:col min="10" max="10" width="16" hidden="0" customWidth="1"/>
    <x:col min="11" max="11" width="12" hidden="0" customWidth="1"/>
    <x:col min="12" max="12" width="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2" t="str">
        <x:v>ADA AI LLC Finance Setup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5" t="str">
        <x:v>EIN, bank, card, books, home-office, assets, robot, and IP setup tracker. Human approval and CPA/attorney review still control final actions.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J3" s="9" t="str">
        <x:v>Status</x:v>
      </x:c>
      <x:c r="K3" s="11" t="str">
        <x:v>Count</x:v>
      </x:c>
    </x:row>
    <x:row r="4">
      <x:c r="A4" s="9" t="str">
        <x:v>Metric</x:v>
      </x:c>
      <x:c r="B4" s="25" t="str">
        <x:v>Value</x:v>
      </x:c>
      <x:c r="C4" s="11" t="str">
        <x:v>Source</x:v>
      </x:c>
      <x:c r="E4" s="9" t="str">
        <x:v>Immediate Order</x:v>
      </x:c>
      <x:c r="F4" s="10" t="str">
        <x:v>Owner</x:v>
      </x:c>
      <x:c r="G4" s="11" t="str">
        <x:v>Approval Gate</x:v>
      </x:c>
      <x:c r="J4" s="18" t="str">
        <x:v>Done</x:v>
      </x:c>
      <x:c r="K4" s="20" t="n">
        <x:f>COUNTIF('Setup Checklist'!D3:D20,J4)</x:f>
        <x:v>0</x:v>
      </x:c>
    </x:row>
    <x:row r="5">
      <x:c r="A5" s="18" t="str">
        <x:v>Setup items complete</x:v>
      </x:c>
      <x:c r="B5" s="29" t="n">
        <x:f>COUNTIF('Setup Checklist'!D3:D20,"Done")</x:f>
        <x:v>0</x:v>
      </x:c>
      <x:c r="C5" s="20" t="str">
        <x:v>Setup Checklist</x:v>
      </x:c>
      <x:c r="E5" s="18" t="str">
        <x:v>Confirm no EIN exists</x:v>
      </x:c>
      <x:c r="F5" s="19" t="str">
        <x:v>Adam / Finance</x:v>
      </x:c>
      <x:c r="G5" s="20" t="str">
        <x:v>Human</x:v>
      </x:c>
      <x:c r="J5" s="18" t="str">
        <x:v>Ready</x:v>
      </x:c>
      <x:c r="K5" s="20" t="n">
        <x:f>COUNTIF('Setup Checklist'!D3:D20,J5)</x:f>
        <x:v>6</x:v>
      </x:c>
    </x:row>
    <x:row r="6">
      <x:c r="A6" s="18" t="str">
        <x:v>Open high-risk approvals</x:v>
      </x:c>
      <x:c r="B6" s="29" t="n">
        <x:f>COUNTIF('Setup Checklist'!C3:C20,"High")-COUNTIFS('Setup Checklist'!C3:C20,"High",'Setup Checklist'!D3:D20,"Done")</x:f>
        <x:v>7</x:v>
      </x:c>
      <x:c r="C6" s="20" t="str">
        <x:v>Setup Checklist</x:v>
      </x:c>
      <x:c r="E6" s="18" t="str">
        <x:v>Apply through free IRS EIN assistant</x:v>
      </x:c>
      <x:c r="F6" s="19" t="str">
        <x:v>Adam</x:v>
      </x:c>
      <x:c r="G6" s="20" t="str">
        <x:v>Human</x:v>
      </x:c>
      <x:c r="J6" s="18" t="str">
        <x:v>Blocked</x:v>
      </x:c>
      <x:c r="K6" s="20" t="n">
        <x:f>COUNTIF('Setup Checklist'!D3:D20,J6)</x:f>
        <x:v>2</x:v>
      </x:c>
    </x:row>
    <x:row r="7">
      <x:c r="A7" s="18" t="str">
        <x:v>Tracked monthly subscriptions</x:v>
      </x:c>
      <x:c r="B7" s="30" t="n">
        <x:f>SUM(Subscriptions!D3:D60)</x:f>
        <x:v>94</x:v>
      </x:c>
      <x:c r="C7" s="20" t="str">
        <x:v>Subscriptions</x:v>
      </x:c>
      <x:c r="E7" s="18" t="str">
        <x:v>Open checking with EIN and formation packet</x:v>
      </x:c>
      <x:c r="F7" s="19" t="str">
        <x:v>Adam / Finance</x:v>
      </x:c>
      <x:c r="G7" s="20" t="str">
        <x:v>Human</x:v>
      </x:c>
      <x:c r="J7" s="21" t="str">
        <x:v>In progress</x:v>
      </x:c>
      <x:c r="K7" s="23" t="n">
        <x:f>COUNTIF('Setup Checklist'!D3:D20,J7)</x:f>
        <x:v>3</x:v>
      </x:c>
    </x:row>
    <x:row r="8">
      <x:c r="A8" s="18" t="str">
        <x:v>Annualized subscriptions</x:v>
      </x:c>
      <x:c r="B8" s="30" t="n">
        <x:f>SUM(Subscriptions!G3:G60)</x:f>
        <x:v>1128</x:v>
      </x:c>
      <x:c r="C8" s="20" t="str">
        <x:v>Subscriptions</x:v>
      </x:c>
      <x:c r="E8" s="18" t="str">
        <x:v>Document card reporting policy before applying</x:v>
      </x:c>
      <x:c r="F8" s="19" t="str">
        <x:v>Adam / Finance</x:v>
      </x:c>
      <x:c r="G8" s="20" t="str">
        <x:v>Human</x:v>
      </x:c>
    </x:row>
    <x:row r="9">
      <x:c r="A9" s="18" t="str">
        <x:v>Asset FMV pending count</x:v>
      </x:c>
      <x:c r="B9" s="29" t="n">
        <x:f>COUNTIF(Assets!H3:H80,"Missing")</x:f>
        <x:v>4</x:v>
      </x:c>
      <x:c r="C9" s="20" t="str">
        <x:v>Assets</x:v>
      </x:c>
      <x:c r="E9" s="18" t="str">
        <x:v>Start books and attach receipts</x:v>
      </x:c>
      <x:c r="F9" s="19" t="str">
        <x:v>Finance</x:v>
      </x:c>
      <x:c r="G9" s="20" t="str">
        <x:v>Internal</x:v>
      </x:c>
    </x:row>
    <x:row r="10">
      <x:c r="A10" s="18" t="str">
        <x:v>Potential home-office actual allocation</x:v>
      </x:c>
      <x:c r="B10" s="29" t="n">
        <x:f>'Home Office'!E21</x:f>
        <x:v>0</x:v>
      </x:c>
      <x:c r="C10" s="20" t="str">
        <x:v>Home Office</x:v>
      </x:c>
      <x:c r="E10" s="18" t="str">
        <x:v>Build equipment FMV transfer packet</x:v>
      </x:c>
      <x:c r="F10" s="19" t="str">
        <x:v>Finance / Asset</x:v>
      </x:c>
      <x:c r="G10" s="20" t="str">
        <x:v>CPA</x:v>
      </x:c>
    </x:row>
    <x:row r="11">
      <x:c r="A11" s="21" t="str">
        <x:v>CPA packet ready items</x:v>
      </x:c>
      <x:c r="B11" s="29" t="n">
        <x:f>COUNTIF('CPA Packet'!D3:D60,"Ready")</x:f>
        <x:v>4</x:v>
      </x:c>
      <x:c r="C11" s="23" t="str">
        <x:v>CPA Packet</x:v>
      </x:c>
      <x:c r="E11" s="21" t="str">
        <x:v>Draft software/IP schedule</x:v>
      </x:c>
      <x:c r="F11" s="22" t="str">
        <x:v>Legal</x:v>
      </x:c>
      <x:c r="G11" s="23" t="str">
        <x:v>Attorney + CPA</x:v>
      </x:c>
    </x:row>
  </x:sheetData>
  <x:pageMargins left="0.7" right="0.7" top="0.75" bottom="0.75" header="0.3" footer="0.3"/>
  <x:drawing xmlns:r="http://schemas.openxmlformats.org/officeDocument/2006/relationships" r:id="R408f042e28a844ec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2" hidden="0" customWidth="1"/>
    <x:col min="4" max="4" width="14" hidden="0" customWidth="1"/>
    <x:col min="5" max="5" width="36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2" t="str">
        <x:v>ADA AI LLC Setup Checklist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5" t="str">
        <x:v>Sequence work here; do not mark gated actions done until the human approval and professional review columns are satisfied.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9" t="str">
        <x:v>Step</x:v>
      </x:c>
      <x:c r="B4" s="10" t="str">
        <x:v>Owner</x:v>
      </x:c>
      <x:c r="C4" s="10" t="str">
        <x:v>Risk</x:v>
      </x:c>
      <x:c r="D4" s="10" t="str">
        <x:v>Status</x:v>
      </x:c>
      <x:c r="E4" s="10" t="str">
        <x:v>Evidence Required</x:v>
      </x:c>
      <x:c r="F4" s="10" t="str">
        <x:v>Record Location</x:v>
      </x:c>
      <x:c r="G4" s="10" t="str">
        <x:v>Approval</x:v>
      </x:c>
      <x:c r="H4" s="10" t="str">
        <x:v>Target</x:v>
      </x:c>
      <x:c r="I4" s="11" t="str">
        <x:v>Notes</x:v>
      </x:c>
    </x:row>
    <x:row r="5">
      <x:c r="A5" s="18" t="str">
        <x:v>Confirm no EIN already exists</x:v>
      </x:c>
      <x:c r="B5" s="19" t="str">
        <x:v>Finance</x:v>
      </x:c>
      <x:c r="C5" s="19" t="str">
        <x:v>High</x:v>
      </x:c>
      <x:c r="D5" s="19" t="str">
        <x:v>Ready</x:v>
      </x:c>
      <x:c r="E5" s="19" t="str">
        <x:v>Search secure ADA company records and email</x:v>
      </x:c>
      <x:c r="F5" s="19" t="str">
        <x:v>Secure company docs</x:v>
      </x:c>
      <x:c r="G5" s="19" t="str">
        <x:v>Adam</x:v>
      </x:c>
      <x:c r="H5" s="19" t="str">
        <x:v>2026-05-06</x:v>
      </x:c>
      <x:c r="I5" s="20" t="str">
        <x:v>Do this before applying.</x:v>
      </x:c>
    </x:row>
    <x:row r="6">
      <x:c r="A6" s="18" t="str">
        <x:v>Apply for EIN</x:v>
      </x:c>
      <x:c r="B6" s="19" t="str">
        <x:v>Adam</x:v>
      </x:c>
      <x:c r="C6" s="19" t="str">
        <x:v>High</x:v>
      </x:c>
      <x:c r="D6" s="19" t="str">
        <x:v>Blocked</x:v>
      </x:c>
      <x:c r="E6" s="19" t="str">
        <x:v>IRS confirmation letter / CP 575</x:v>
      </x:c>
      <x:c r="F6" s="19" t="str">
        <x:v>Secure company docs</x:v>
      </x:c>
      <x:c r="G6" s="19" t="str">
        <x:v>Adam</x:v>
      </x:c>
      <x:c r="H6" s="19" t="str">
        <x:v>2026-05-07</x:v>
      </x:c>
      <x:c r="I6" s="20" t="str">
        <x:v>Use IRS assistant directly; free.</x:v>
      </x:c>
    </x:row>
    <x:row r="7">
      <x:c r="A7" s="18" t="str">
        <x:v>Sign operating agreement</x:v>
      </x:c>
      <x:c r="B7" s="19" t="str">
        <x:v>Legal</x:v>
      </x:c>
      <x:c r="C7" s="19" t="str">
        <x:v>Critical</x:v>
      </x:c>
      <x:c r="D7" s="19" t="str">
        <x:v>Ready</x:v>
      </x:c>
      <x:c r="E7" s="19" t="str">
        <x:v>Signed operating agreement</x:v>
      </x:c>
      <x:c r="F7" s="19" t="str">
        <x:v>Legal docs</x:v>
      </x:c>
      <x:c r="G7" s="19" t="str">
        <x:v>Adam</x:v>
      </x:c>
      <x:c r="H7" s="19" t="str">
        <x:v>2026-05-09</x:v>
      </x:c>
      <x:c r="I7" s="20" t="str">
        <x:v>Needed for clean bank packet.</x:v>
      </x:c>
    </x:row>
    <x:row r="8">
      <x:c r="A8" s="18" t="str">
        <x:v>Open business checking</x:v>
      </x:c>
      <x:c r="B8" s="19" t="str">
        <x:v>Finance</x:v>
      </x:c>
      <x:c r="C8" s="19" t="str">
        <x:v>High</x:v>
      </x:c>
      <x:c r="D8" s="19" t="str">
        <x:v>Blocked</x:v>
      </x:c>
      <x:c r="E8" s="19" t="str">
        <x:v>EIN, articles, operating agreement, ID, ownership memo</x:v>
      </x:c>
      <x:c r="F8" s="19" t="str">
        <x:v>Bank/card decision log</x:v>
      </x:c>
      <x:c r="G8" s="19" t="str">
        <x:v>Adam</x:v>
      </x:c>
      <x:c r="H8" s="19" t="str">
        <x:v>2026-05-10</x:v>
      </x:c>
      <x:c r="I8" s="20" t="str">
        <x:v>First deposit classified as owner contribution.</x:v>
      </x:c>
    </x:row>
    <x:row r="9">
      <x:c r="A9" s="18" t="str">
        <x:v>Document business card policy</x:v>
      </x:c>
      <x:c r="B9" s="19" t="str">
        <x:v>Finance</x:v>
      </x:c>
      <x:c r="C9" s="19" t="str">
        <x:v>High</x:v>
      </x:c>
      <x:c r="D9" s="19" t="str">
        <x:v>Ready</x:v>
      </x:c>
      <x:c r="E9" s="19" t="str">
        <x:v>Personal guarantee, hard pull, reporting, fees, autopay</x:v>
      </x:c>
      <x:c r="F9" s="19" t="str">
        <x:v>Bank/card decision log</x:v>
      </x:c>
      <x:c r="G9" s="19" t="str">
        <x:v>Adam</x:v>
      </x:c>
      <x:c r="H9" s="19" t="str">
        <x:v>2026-05-11</x:v>
      </x:c>
      <x:c r="I9" s="20" t="str">
        <x:v>Minimize personal credit impact.</x:v>
      </x:c>
    </x:row>
    <x:row r="10">
      <x:c r="A10" s="18" t="str">
        <x:v>Start separate books</x:v>
      </x:c>
      <x:c r="B10" s="19" t="str">
        <x:v>Finance</x:v>
      </x:c>
      <x:c r="C10" s="19" t="str">
        <x:v>Medium</x:v>
      </x:c>
      <x:c r="D10" s="19" t="str">
        <x:v>In progress</x:v>
      </x:c>
      <x:c r="E10" s="19" t="str">
        <x:v>Chart of accounts and receipt intake</x:v>
      </x:c>
      <x:c r="F10" s="19" t="str">
        <x:v>Transactions / Subscriptions</x:v>
      </x:c>
      <x:c r="G10" s="19" t="str">
        <x:v>Internal</x:v>
      </x:c>
      <x:c r="H10" s="19" t="str">
        <x:v>2026-05-08</x:v>
      </x:c>
      <x:c r="I10" s="20" t="str">
        <x:v>AI/API spend gets its own category.</x:v>
      </x:c>
    </x:row>
    <x:row r="11">
      <x:c r="A11" s="18" t="str">
        <x:v>Home-office worksheet</x:v>
      </x:c>
      <x:c r="B11" s="19" t="str">
        <x:v>Finance</x:v>
      </x:c>
      <x:c r="C11" s="19" t="str">
        <x:v>Medium</x:v>
      </x:c>
      <x:c r="D11" s="19" t="str">
        <x:v>In progress</x:v>
      </x:c>
      <x:c r="E11" s="19" t="str">
        <x:v>Measurements, photos, utilities, internet, insurance, repairs</x:v>
      </x:c>
      <x:c r="F11" s="19" t="str">
        <x:v>Home Office</x:v>
      </x:c>
      <x:c r="G11" s="19" t="str">
        <x:v>CPA</x:v>
      </x:c>
      <x:c r="H11" s="19" t="str">
        <x:v>2026-05-12</x:v>
      </x:c>
      <x:c r="I11" s="20" t="str">
        <x:v>CPA decides simplified vs actual.</x:v>
      </x:c>
    </x:row>
    <x:row r="12">
      <x:c r="A12" s="18" t="str">
        <x:v>Existing equipment transfer packet</x:v>
      </x:c>
      <x:c r="B12" s="19" t="str">
        <x:v>Asset</x:v>
      </x:c>
      <x:c r="C12" s="19" t="str">
        <x:v>High</x:v>
      </x:c>
      <x:c r="D12" s="19" t="str">
        <x:v>In progress</x:v>
      </x:c>
      <x:c r="E12" s="19" t="str">
        <x:v>Serials, photos, receipts, upgrades, business-use %, FMV comparables</x:v>
      </x:c>
      <x:c r="F12" s="19" t="str">
        <x:v>Assets</x:v>
      </x:c>
      <x:c r="G12" s="19" t="str">
        <x:v>CPA</x:v>
      </x:c>
      <x:c r="H12" s="19" t="str">
        <x:v>2026-05-12</x:v>
      </x:c>
      <x:c r="I12" s="20" t="str">
        <x:v>No unsupported markup.</x:v>
      </x:c>
    </x:row>
    <x:row r="13">
      <x:c r="A13" s="18" t="str">
        <x:v>Robot purchase/transfer record</x:v>
      </x:c>
      <x:c r="B13" s="19" t="str">
        <x:v>Robotics</x:v>
      </x:c>
      <x:c r="C13" s="19" t="str">
        <x:v>High</x:v>
      </x:c>
      <x:c r="D13" s="19" t="str">
        <x:v>Ready</x:v>
      </x:c>
      <x:c r="E13" s="19" t="str">
        <x:v>Invoice or FMV memo, warranty, serial, purpose, location</x:v>
      </x:c>
      <x:c r="F13" s="19" t="str">
        <x:v>Assets</x:v>
      </x:c>
      <x:c r="G13" s="19" t="str">
        <x:v>Adam + CPA</x:v>
      </x:c>
      <x:c r="H13" s="19" t="str">
        <x:v>2026-05-13</x:v>
      </x:c>
      <x:c r="I13" s="20" t="str">
        <x:v>Buy directly from ADA when possible.</x:v>
      </x:c>
    </x:row>
    <x:row r="14">
      <x:c r="A14" s="18" t="str">
        <x:v>Software/IP schedule</x:v>
      </x:c>
      <x:c r="B14" s="19" t="str">
        <x:v>Legal</x:v>
      </x:c>
      <x:c r="C14" s="19" t="str">
        <x:v>Critical</x:v>
      </x:c>
      <x:c r="D14" s="19" t="str">
        <x:v>Ready</x:v>
      </x:c>
      <x:c r="E14" s="19" t="str">
        <x:v>Repo list, modules, dependencies, assignment/license scope</x:v>
      </x:c>
      <x:c r="F14" s="19" t="str">
        <x:v>IP &amp; Software</x:v>
      </x:c>
      <x:c r="G14" s="19" t="str">
        <x:v>Attorney + CPA</x:v>
      </x:c>
      <x:c r="H14" s="19" t="str">
        <x:v>2026-05-13</x:v>
      </x:c>
      <x:c r="I14" s="20" t="str">
        <x:v>Unpaid development time is not basis.</x:v>
      </x:c>
    </x:row>
    <x:row r="15">
      <x:c r="A15" s="21" t="str">
        <x:v>First CPA packet</x:v>
      </x:c>
      <x:c r="B15" s="22" t="str">
        <x:v>Finance</x:v>
      </x:c>
      <x:c r="C15" s="22" t="str">
        <x:v>High</x:v>
      </x:c>
      <x:c r="D15" s="22" t="str">
        <x:v>Ready</x:v>
      </x:c>
      <x:c r="E15" s="22" t="str">
        <x:v>P&amp;L, receipts, subscriptions, asset register, home office, questions</x:v>
      </x:c>
      <x:c r="F15" s="22" t="str">
        <x:v>CPA Packet</x:v>
      </x:c>
      <x:c r="G15" s="22" t="str">
        <x:v>CPA</x:v>
      </x:c>
      <x:c r="H15" s="22" t="str">
        <x:v>2026-06-15</x:v>
      </x:c>
      <x:c r="I15" s="23" t="str">
        <x:v>Use CPA agenda template.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34" hidden="0" customWidth="1"/>
    <x:col min="9" max="9" width="38" hidden="0" customWidth="1"/>
    <x:col min="10" max="10" width="16" hidden="0" customWidth="1"/>
  </x:cols>
  <x:sheetData>
    <x:row r="1">
      <x:c r="A1" s="2" t="str">
        <x:v>Transaction And Receipt Intake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5" t="str">
        <x:v>Enter each ADA transaction or owner-paid reimbursement candidate. Business amount is formula-driven from amount and business-use percent.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9" t="str">
        <x:v>Date</x:v>
      </x:c>
      <x:c r="B4" s="10" t="str">
        <x:v>Vendor</x:v>
      </x:c>
      <x:c r="C4" s="10" t="str">
        <x:v>Category</x:v>
      </x:c>
      <x:c r="D4" s="10" t="str">
        <x:v>Amount</x:v>
      </x:c>
      <x:c r="E4" s="10" t="str">
        <x:v>Business Use %</x:v>
      </x:c>
      <x:c r="F4" s="10" t="str">
        <x:v>Business Amount</x:v>
      </x:c>
      <x:c r="G4" s="10" t="str">
        <x:v>Paid From</x:v>
      </x:c>
      <x:c r="H4" s="10" t="str">
        <x:v>Receipt Link</x:v>
      </x:c>
      <x:c r="I4" s="10" t="str">
        <x:v>Business Purpose</x:v>
      </x:c>
      <x:c r="J4" s="11" t="str">
        <x:v>CPA Review</x:v>
      </x:c>
    </x:row>
    <x:row r="5">
      <x:c r="A5" s="18" t="str"/>
      <x:c r="B5" s="19" t="str">
        <x:v>OpenAI / API</x:v>
      </x:c>
      <x:c r="C5" s="19" t="str">
        <x:v>AI/API spend</x:v>
      </x:c>
      <x:c r="D5" s="32" t="str"/>
      <x:c r="E5" s="35" t="n">
        <x:v>1</x:v>
      </x:c>
      <x:c r="F5" s="32" t="str">
        <x:f>IF(OR(D5="",E5=""),"",D5*E5)</x:f>
      </x:c>
      <x:c r="G5" s="19" t="str">
        <x:v>ADA card</x:v>
      </x:c>
      <x:c r="H5" s="19" t="str"/>
      <x:c r="I5" s="19" t="str">
        <x:v>Model/API usage for ADA AI LLC development</x:v>
      </x:c>
      <x:c r="J5" s="20" t="str">
        <x:v>No</x:v>
      </x:c>
    </x:row>
    <x:row r="6">
      <x:c r="A6" s="18" t="str"/>
      <x:c r="B6" s="19" t="str">
        <x:v>Anthropic / coding</x:v>
      </x:c>
      <x:c r="C6" s="19" t="str">
        <x:v>AI/API spend</x:v>
      </x:c>
      <x:c r="D6" s="32" t="str"/>
      <x:c r="E6" s="35" t="n">
        <x:v>1</x:v>
      </x:c>
      <x:c r="F6" s="32" t="str">
        <x:f>IF(OR(D6="",E6=""),"",D6*E6)</x:f>
      </x:c>
      <x:c r="G6" s="19" t="str">
        <x:v>ADA card</x:v>
      </x:c>
      <x:c r="H6" s="19" t="str"/>
      <x:c r="I6" s="19" t="str">
        <x:v>Coding assistant for ADA software work</x:v>
      </x:c>
      <x:c r="J6" s="20" t="str">
        <x:v>No</x:v>
      </x:c>
    </x:row>
    <x:row r="7">
      <x:c r="A7" s="18" t="str"/>
      <x:c r="B7" s="19" t="str">
        <x:v>Cloud or hosting</x:v>
      </x:c>
      <x:c r="C7" s="19" t="str">
        <x:v>Cloud and hosting</x:v>
      </x:c>
      <x:c r="D7" s="32" t="str"/>
      <x:c r="E7" s="35" t="n">
        <x:v>1</x:v>
      </x:c>
      <x:c r="F7" s="32" t="str">
        <x:f>IF(OR(D7="",E7=""),"",D7*E7)</x:f>
      </x:c>
      <x:c r="G7" s="19" t="str">
        <x:v>ADA bank/card</x:v>
      </x:c>
      <x:c r="H7" s="19" t="str"/>
      <x:c r="I7" s="19" t="str">
        <x:v>Infrastructure for ADA products</x:v>
      </x:c>
      <x:c r="J7" s="20" t="str">
        <x:v>No</x:v>
      </x:c>
    </x:row>
    <x:row r="8">
      <x:c r="A8" s="18" t="str"/>
      <x:c r="B8" s="19" t="str">
        <x:v>Robot vendor</x:v>
      </x:c>
      <x:c r="C8" s="19" t="str">
        <x:v>Robot/equipment</x:v>
      </x:c>
      <x:c r="D8" s="32" t="str"/>
      <x:c r="E8" s="35" t="n">
        <x:v>1</x:v>
      </x:c>
      <x:c r="F8" s="32" t="str">
        <x:f>IF(OR(D8="",E8=""),"",D8*E8)</x:f>
      </x:c>
      <x:c r="G8" s="19" t="str">
        <x:v>ADA bank/card</x:v>
      </x:c>
      <x:c r="H8" s="19" t="str"/>
      <x:c r="I8" s="19" t="str">
        <x:v>Robot hardware for ADA robotics lab</x:v>
      </x:c>
      <x:c r="J8" s="20" t="str">
        <x:v>Yes</x:v>
      </x:c>
    </x:row>
    <x:row r="9">
      <x:c r="A9" s="21" t="str"/>
      <x:c r="B9" s="22" t="str">
        <x:v>Owner reimbursement</x:v>
      </x:c>
      <x:c r="C9" s="22" t="str">
        <x:v>Owner reimbursement</x:v>
      </x:c>
      <x:c r="D9" s="33" t="str"/>
      <x:c r="E9" s="36" t="str"/>
      <x:c r="F9" s="33" t="str">
        <x:f>IF(OR(D9="",E9=""),"",D9*E9)</x:f>
      </x:c>
      <x:c r="G9" s="22" t="str">
        <x:v>Owner paid</x:v>
      </x:c>
      <x:c r="H9" s="22" t="str"/>
      <x:c r="I9" s="22" t="str">
        <x:v>Pre-bank ADA business expense candidate</x:v>
      </x:c>
      <x:c r="J9" s="23" t="str">
        <x:v>Yes</x:v>
      </x:c>
    </x:row>
    <x:row r="10">
      <x:c r="D10" s="34"/>
      <x:c r="E10" s="37"/>
      <x:c r="F10" s="34" t="str">
        <x:f>IF(OR(D10="",E10=""),"",D10*E10)</x:f>
      </x:c>
    </x:row>
    <x:row r="11">
      <x:c r="D11" s="34"/>
      <x:c r="E11" s="37"/>
      <x:c r="F11" s="34" t="str">
        <x:f>IF(OR(D11="",E11=""),"",D11*E11)</x:f>
      </x:c>
    </x:row>
    <x:row r="12">
      <x:c r="D12" s="34"/>
      <x:c r="E12" s="37"/>
      <x:c r="F12" s="34" t="str">
        <x:f>IF(OR(D12="",E12=""),"",D12*E12)</x:f>
      </x:c>
    </x:row>
    <x:row r="13">
      <x:c r="D13" s="34"/>
      <x:c r="E13" s="37"/>
      <x:c r="F13" s="34" t="str">
        <x:f>IF(OR(D13="",E13=""),"",D13*E13)</x:f>
      </x:c>
    </x:row>
    <x:row r="14">
      <x:c r="D14" s="34"/>
      <x:c r="E14" s="37"/>
      <x:c r="F14" s="34" t="str">
        <x:f>IF(OR(D14="",E14=""),"",D14*E14)</x:f>
      </x:c>
    </x:row>
    <x:row r="15">
      <x:c r="D15" s="34"/>
      <x:c r="E15" s="37"/>
      <x:c r="F15" s="34" t="str">
        <x:f>IF(OR(D15="",E15=""),"",D15*E15)</x:f>
      </x:c>
    </x:row>
    <x:row r="16">
      <x:c r="D16" s="34"/>
      <x:c r="E16" s="37"/>
      <x:c r="F16" s="34" t="str">
        <x:f>IF(OR(D16="",E16=""),"",D16*E16)</x:f>
      </x:c>
    </x:row>
    <x:row r="17">
      <x:c r="D17" s="34"/>
      <x:c r="E17" s="37"/>
      <x:c r="F17" s="34" t="str">
        <x:f>IF(OR(D17="",E17=""),"",D17*E17)</x:f>
      </x:c>
    </x:row>
    <x:row r="18">
      <x:c r="D18" s="34"/>
      <x:c r="E18" s="37"/>
      <x:c r="F18" s="34" t="str">
        <x:f>IF(OR(D18="",E18=""),"",D18*E18)</x:f>
      </x:c>
    </x:row>
    <x:row r="19">
      <x:c r="D19" s="34"/>
      <x:c r="E19" s="37"/>
      <x:c r="F19" s="34" t="str">
        <x:f>IF(OR(D19="",E19=""),"",D19*E19)</x:f>
      </x:c>
    </x:row>
    <x:row r="20">
      <x:c r="D20" s="34"/>
      <x:c r="E20" s="37"/>
      <x:c r="F20" s="34" t="str">
        <x:f>IF(OR(D20="",E20=""),"",D20*E20)</x:f>
      </x:c>
    </x:row>
    <x:row r="21">
      <x:c r="D21" s="34"/>
      <x:c r="E21" s="37"/>
      <x:c r="F21" s="34" t="str">
        <x:f>IF(OR(D21="",E21=""),"",D21*E21)</x:f>
      </x:c>
    </x:row>
    <x:row r="22">
      <x:c r="D22" s="34"/>
      <x:c r="E22" s="37"/>
      <x:c r="F22" s="34" t="str">
        <x:f>IF(OR(D22="",E22=""),"",D22*E22)</x:f>
      </x:c>
    </x:row>
    <x:row r="23">
      <x:c r="D23" s="34"/>
      <x:c r="E23" s="37"/>
      <x:c r="F23" s="34" t="str">
        <x:f>IF(OR(D23="",E23=""),"",D23*E23)</x:f>
      </x:c>
    </x:row>
    <x:row r="24">
      <x:c r="D24" s="34"/>
      <x:c r="E24" s="37"/>
      <x:c r="F24" s="34" t="str">
        <x:f>IF(OR(D24="",E24=""),"",D24*E24)</x:f>
      </x:c>
    </x:row>
    <x:row r="25">
      <x:c r="D25" s="34"/>
      <x:c r="E25" s="37"/>
      <x:c r="F25" s="34" t="str">
        <x:f>IF(OR(D25="",E25=""),"",D25*E25)</x:f>
      </x:c>
    </x:row>
    <x:row r="26">
      <x:c r="D26" s="34"/>
      <x:c r="E26" s="37"/>
      <x:c r="F26" s="34" t="str">
        <x:f>IF(OR(D26="",E26=""),"",D26*E26)</x:f>
      </x:c>
    </x:row>
    <x:row r="27">
      <x:c r="D27" s="34"/>
      <x:c r="E27" s="37"/>
      <x:c r="F27" s="34" t="str">
        <x:f>IF(OR(D27="",E27=""),"",D27*E27)</x:f>
      </x:c>
    </x:row>
    <x:row r="28">
      <x:c r="D28" s="34"/>
      <x:c r="E28" s="37"/>
      <x:c r="F28" s="34" t="str">
        <x:f>IF(OR(D28="",E28=""),"",D28*E28)</x:f>
      </x:c>
    </x:row>
    <x:row r="29">
      <x:c r="D29" s="34"/>
      <x:c r="E29" s="37"/>
      <x:c r="F29" s="34" t="str">
        <x:f>IF(OR(D29="",E29=""),"",D29*E29)</x:f>
      </x:c>
    </x:row>
    <x:row r="30">
      <x:c r="D30" s="34"/>
      <x:c r="E30" s="37"/>
      <x:c r="F30" s="34" t="str">
        <x:f>IF(OR(D30="",E30=""),"",D30*E30)</x:f>
      </x:c>
    </x:row>
    <x:row r="31">
      <x:c r="D31" s="34"/>
      <x:c r="E31" s="37"/>
      <x:c r="F31" s="34" t="str">
        <x:f>IF(OR(D31="",E31=""),"",D31*E31)</x:f>
      </x:c>
    </x:row>
    <x:row r="32">
      <x:c r="D32" s="34"/>
      <x:c r="E32" s="37"/>
      <x:c r="F32" s="34" t="str">
        <x:f>IF(OR(D32="",E32=""),"",D32*E32)</x:f>
      </x:c>
    </x:row>
    <x:row r="33">
      <x:c r="D33" s="34"/>
      <x:c r="E33" s="37"/>
      <x:c r="F33" s="34" t="str">
        <x:f>IF(OR(D33="",E33=""),"",D33*E33)</x:f>
      </x:c>
    </x:row>
    <x:row r="34">
      <x:c r="D34" s="34"/>
      <x:c r="E34" s="37"/>
      <x:c r="F34" s="34" t="str">
        <x:f>IF(OR(D34="",E34=""),"",D34*E34)</x:f>
      </x:c>
    </x:row>
    <x:row r="35">
      <x:c r="D35" s="34"/>
      <x:c r="E35" s="37"/>
      <x:c r="F35" s="34" t="str">
        <x:f>IF(OR(D35="",E35=""),"",D35*E35)</x:f>
      </x:c>
    </x:row>
    <x:row r="36">
      <x:c r="D36" s="34"/>
      <x:c r="E36" s="37"/>
      <x:c r="F36" s="34" t="str">
        <x:f>IF(OR(D36="",E36=""),"",D36*E36)</x:f>
      </x:c>
    </x:row>
    <x:row r="37">
      <x:c r="D37" s="34"/>
      <x:c r="E37" s="37"/>
      <x:c r="F37" s="34" t="str">
        <x:f>IF(OR(D37="",E37=""),"",D37*E37)</x:f>
      </x:c>
    </x:row>
    <x:row r="38">
      <x:c r="D38" s="34"/>
      <x:c r="E38" s="37"/>
      <x:c r="F38" s="34" t="str">
        <x:f>IF(OR(D38="",E38=""),"",D38*E38)</x:f>
      </x:c>
    </x:row>
    <x:row r="39">
      <x:c r="D39" s="34"/>
      <x:c r="E39" s="37"/>
      <x:c r="F39" s="34" t="str">
        <x:f>IF(OR(D39="",E39=""),"",D39*E39)</x:f>
      </x:c>
    </x:row>
    <x:row r="40">
      <x:c r="D40" s="34"/>
      <x:c r="E40" s="37"/>
      <x:c r="F40" s="34" t="str">
        <x:f>IF(OR(D40="",E40=""),"",D40*E40)</x:f>
      </x:c>
    </x:row>
    <x:row r="41">
      <x:c r="D41" s="34"/>
      <x:c r="E41" s="37"/>
      <x:c r="F41" s="34" t="str">
        <x:f>IF(OR(D41="",E41=""),"",D41*E41)</x:f>
      </x:c>
    </x:row>
    <x:row r="42">
      <x:c r="D42" s="34"/>
      <x:c r="E42" s="37"/>
      <x:c r="F42" s="34" t="str">
        <x:f>IF(OR(D42="",E42=""),"",D42*E42)</x:f>
      </x:c>
    </x:row>
    <x:row r="43">
      <x:c r="D43" s="34"/>
      <x:c r="E43" s="37"/>
      <x:c r="F43" s="34" t="str">
        <x:f>IF(OR(D43="",E43=""),"",D43*E43)</x:f>
      </x:c>
    </x:row>
    <x:row r="44">
      <x:c r="D44" s="34"/>
      <x:c r="E44" s="37"/>
      <x:c r="F44" s="34" t="str">
        <x:f>IF(OR(D44="",E44=""),"",D44*E44)</x:f>
      </x:c>
    </x:row>
    <x:row r="45">
      <x:c r="D45" s="34"/>
      <x:c r="E45" s="37"/>
      <x:c r="F45" s="34" t="str">
        <x:f>IF(OR(D45="",E45=""),"",D45*E45)</x:f>
      </x:c>
    </x:row>
    <x:row r="46">
      <x:c r="D46" s="34"/>
      <x:c r="E46" s="37"/>
      <x:c r="F46" s="34" t="str">
        <x:f>IF(OR(D46="",E46=""),"",D46*E46)</x:f>
      </x:c>
    </x:row>
    <x:row r="47">
      <x:c r="D47" s="34"/>
      <x:c r="E47" s="37"/>
      <x:c r="F47" s="34" t="str">
        <x:f>IF(OR(D47="",E47=""),"",D47*E47)</x:f>
      </x:c>
    </x:row>
    <x:row r="48">
      <x:c r="D48" s="34"/>
      <x:c r="E48" s="37"/>
      <x:c r="F48" s="34" t="str">
        <x:f>IF(OR(D48="",E48=""),"",D48*E48)</x:f>
      </x:c>
    </x:row>
    <x:row r="49">
      <x:c r="D49" s="34"/>
      <x:c r="E49" s="37"/>
      <x:c r="F49" s="34" t="str">
        <x:f>IF(OR(D49="",E49=""),"",D49*E49)</x:f>
      </x:c>
    </x:row>
    <x:row r="50">
      <x:c r="D50" s="34"/>
      <x:c r="E50" s="37"/>
      <x:c r="F50" s="34" t="str">
        <x:f>IF(OR(D50="",E50=""),"",D50*E50)</x:f>
      </x:c>
    </x:row>
    <x:row r="51">
      <x:c r="D51" s="34"/>
      <x:c r="E51" s="37"/>
      <x:c r="F51" s="34" t="str">
        <x:f>IF(OR(D51="",E51=""),"",D51*E51)</x:f>
      </x:c>
    </x:row>
    <x:row r="52">
      <x:c r="D52" s="34"/>
      <x:c r="E52" s="37"/>
      <x:c r="F52" s="34" t="str">
        <x:f>IF(OR(D52="",E52=""),"",D52*E52)</x:f>
      </x:c>
    </x:row>
    <x:row r="53">
      <x:c r="D53" s="34"/>
      <x:c r="E53" s="37"/>
      <x:c r="F53" s="34" t="str">
        <x:f>IF(OR(D53="",E53=""),"",D53*E53)</x:f>
      </x:c>
    </x:row>
    <x:row r="54">
      <x:c r="D54" s="34"/>
      <x:c r="E54" s="37"/>
      <x:c r="F54" s="34" t="str">
        <x:f>IF(OR(D54="",E54=""),"",D54*E54)</x:f>
      </x:c>
    </x:row>
    <x:row r="55">
      <x:c r="D55" s="34"/>
      <x:c r="E55" s="37"/>
      <x:c r="F55" s="34" t="str">
        <x:f>IF(OR(D55="",E55=""),"",D55*E55)</x:f>
      </x:c>
    </x:row>
    <x:row r="56">
      <x:c r="D56" s="34"/>
      <x:c r="E56" s="37"/>
      <x:c r="F56" s="34" t="str">
        <x:f>IF(OR(D56="",E56=""),"",D56*E56)</x:f>
      </x:c>
    </x:row>
    <x:row r="57">
      <x:c r="D57" s="34"/>
      <x:c r="E57" s="37"/>
      <x:c r="F57" s="34" t="str">
        <x:f>IF(OR(D57="",E57=""),"",D57*E57)</x:f>
      </x:c>
    </x:row>
    <x:row r="58">
      <x:c r="D58" s="34"/>
      <x:c r="E58" s="37"/>
      <x:c r="F58" s="34" t="str">
        <x:f>IF(OR(D58="",E58=""),"",D58*E58)</x:f>
      </x:c>
    </x:row>
    <x:row r="59">
      <x:c r="D59" s="34"/>
      <x:c r="E59" s="37"/>
      <x:c r="F59" s="34" t="str">
        <x:f>IF(OR(D59="",E59=""),"",D59*E59)</x:f>
      </x:c>
    </x:row>
    <x:row r="60">
      <x:c r="D60" s="34"/>
      <x:c r="E60" s="37"/>
      <x:c r="F60" s="34" t="str">
        <x:f>IF(OR(D60="",E60=""),"",D60*E60)</x:f>
      </x:c>
    </x:row>
    <x:row r="61">
      <x:c r="D61" s="34"/>
      <x:c r="E61" s="37"/>
      <x:c r="F61" s="34" t="str">
        <x:f>IF(OR(D61="",E61=""),"",D61*E61)</x:f>
      </x:c>
    </x:row>
    <x:row r="62">
      <x:c r="D62" s="34"/>
      <x:c r="E62" s="37"/>
      <x:c r="F62" s="34" t="str">
        <x:f>IF(OR(D62="",E62=""),"",D62*E62)</x:f>
      </x:c>
    </x:row>
    <x:row r="63">
      <x:c r="D63" s="34"/>
      <x:c r="E63" s="37"/>
      <x:c r="F63" s="34" t="str">
        <x:f>IF(OR(D63="",E63=""),"",D63*E63)</x:f>
      </x:c>
    </x:row>
    <x:row r="64">
      <x:c r="D64" s="34"/>
      <x:c r="E64" s="37"/>
      <x:c r="F64" s="34" t="str">
        <x:f>IF(OR(D64="",E64=""),"",D64*E64)</x:f>
      </x:c>
    </x:row>
    <x:row r="65">
      <x:c r="D65" s="34"/>
      <x:c r="E65" s="37"/>
      <x:c r="F65" s="34" t="str">
        <x:f>IF(OR(D65="",E65=""),"",D65*E65)</x:f>
      </x:c>
    </x:row>
    <x:row r="66">
      <x:c r="D66" s="34"/>
      <x:c r="E66" s="37"/>
      <x:c r="F66" s="34" t="str">
        <x:f>IF(OR(D66="",E66=""),"",D66*E66)</x:f>
      </x:c>
    </x:row>
    <x:row r="67">
      <x:c r="D67" s="34"/>
      <x:c r="E67" s="37"/>
      <x:c r="F67" s="34" t="str">
        <x:f>IF(OR(D67="",E67=""),"",D67*E67)</x:f>
      </x:c>
    </x:row>
    <x:row r="68">
      <x:c r="D68" s="34"/>
      <x:c r="E68" s="37"/>
      <x:c r="F68" s="34" t="str">
        <x:f>IF(OR(D68="",E68=""),"",D68*E68)</x:f>
      </x:c>
    </x:row>
    <x:row r="69">
      <x:c r="D69" s="34"/>
      <x:c r="E69" s="37"/>
      <x:c r="F69" s="34" t="str">
        <x:f>IF(OR(D69="",E69=""),"",D69*E69)</x:f>
      </x:c>
    </x:row>
    <x:row r="70">
      <x:c r="D70" s="34"/>
      <x:c r="E70" s="37"/>
      <x:c r="F70" s="34" t="str">
        <x:f>IF(OR(D70="",E70=""),"",D70*E70)</x:f>
      </x:c>
    </x:row>
    <x:row r="71">
      <x:c r="D71" s="34"/>
      <x:c r="E71" s="37"/>
      <x:c r="F71" s="34" t="str">
        <x:f>IF(OR(D71="",E71=""),"",D71*E71)</x:f>
      </x:c>
    </x:row>
    <x:row r="72">
      <x:c r="D72" s="34"/>
      <x:c r="E72" s="37"/>
      <x:c r="F72" s="34" t="str">
        <x:f>IF(OR(D72="",E72=""),"",D72*E72)</x:f>
      </x:c>
    </x:row>
    <x:row r="73">
      <x:c r="D73" s="34"/>
      <x:c r="E73" s="37"/>
      <x:c r="F73" s="34" t="str">
        <x:f>IF(OR(D73="",E73=""),"",D73*E73)</x:f>
      </x:c>
    </x:row>
    <x:row r="74">
      <x:c r="D74" s="34"/>
      <x:c r="E74" s="37"/>
      <x:c r="F74" s="34" t="str">
        <x:f>IF(OR(D74="",E74=""),"",D74*E74)</x:f>
      </x:c>
    </x:row>
    <x:row r="75">
      <x:c r="D75" s="34"/>
      <x:c r="E75" s="37"/>
      <x:c r="F75" s="34" t="str">
        <x:f>IF(OR(D75="",E75=""),"",D75*E75)</x:f>
      </x:c>
    </x:row>
    <x:row r="76">
      <x:c r="D76" s="34"/>
      <x:c r="E76" s="37"/>
      <x:c r="F76" s="34" t="str">
        <x:f>IF(OR(D76="",E76=""),"",D76*E76)</x:f>
      </x:c>
    </x:row>
    <x:row r="77">
      <x:c r="D77" s="34"/>
      <x:c r="E77" s="37"/>
      <x:c r="F77" s="34" t="str">
        <x:f>IF(OR(D77="",E77=""),"",D77*E77)</x:f>
      </x:c>
    </x:row>
    <x:row r="78">
      <x:c r="D78" s="34"/>
      <x:c r="E78" s="37"/>
      <x:c r="F78" s="34" t="str">
        <x:f>IF(OR(D78="",E78=""),"",D78*E78)</x:f>
      </x:c>
    </x:row>
    <x:row r="79">
      <x:c r="D79" s="34"/>
      <x:c r="E79" s="37"/>
      <x:c r="F79" s="34" t="str">
        <x:f>IF(OR(D79="",E79=""),"",D79*E79)</x:f>
      </x:c>
    </x:row>
    <x:row r="80">
      <x:c r="D80" s="34"/>
      <x:c r="E80" s="37"/>
      <x:c r="F80" s="34" t="str">
        <x:f>IF(OR(D80="",E80=""),"",D80*E80)</x:f>
      </x:c>
    </x:row>
    <x:row r="81">
      <x:c r="D81" s="34"/>
      <x:c r="E81" s="37"/>
      <x:c r="F81" s="34" t="str">
        <x:f>IF(OR(D81="",E81=""),"",D81*E81)</x:f>
      </x:c>
    </x:row>
    <x:row r="82">
      <x:c r="D82" s="34"/>
      <x:c r="E82" s="37"/>
      <x:c r="F82" s="34" t="str">
        <x:f>IF(OR(D82="",E82=""),"",D82*E82)</x:f>
      </x:c>
    </x:row>
    <x:row r="83">
      <x:c r="D83" s="34"/>
      <x:c r="E83" s="37"/>
      <x:c r="F83" s="34" t="str">
        <x:f>IF(OR(D83="",E83=""),"",D83*E83)</x:f>
      </x:c>
    </x:row>
    <x:row r="84">
      <x:c r="D84" s="34"/>
      <x:c r="E84" s="37"/>
      <x:c r="F84" s="34" t="str">
        <x:f>IF(OR(D84="",E84=""),"",D84*E84)</x:f>
      </x:c>
    </x:row>
    <x:row r="85">
      <x:c r="D85" s="34"/>
      <x:c r="E85" s="37"/>
      <x:c r="F85" s="34" t="str">
        <x:f>IF(OR(D85="",E85=""),"",D85*E85)</x:f>
      </x:c>
    </x:row>
    <x:row r="86">
      <x:c r="D86" s="34"/>
      <x:c r="E86" s="37"/>
      <x:c r="F86" s="34" t="str">
        <x:f>IF(OR(D86="",E86=""),"",D86*E86)</x:f>
      </x:c>
    </x:row>
    <x:row r="87">
      <x:c r="D87" s="34"/>
      <x:c r="E87" s="37"/>
      <x:c r="F87" s="34" t="str">
        <x:f>IF(OR(D87="",E87=""),"",D87*E87)</x:f>
      </x:c>
    </x:row>
    <x:row r="88">
      <x:c r="D88" s="34"/>
      <x:c r="E88" s="37"/>
      <x:c r="F88" s="34" t="str">
        <x:f>IF(OR(D88="",E88=""),"",D88*E88)</x:f>
      </x:c>
    </x:row>
    <x:row r="89">
      <x:c r="D89" s="34"/>
      <x:c r="E89" s="37"/>
      <x:c r="F89" s="34" t="str">
        <x:f>IF(OR(D89="",E89=""),"",D89*E89)</x:f>
      </x:c>
    </x:row>
    <x:row r="90">
      <x:c r="D90" s="34"/>
      <x:c r="E90" s="37"/>
      <x:c r="F90" s="34" t="str">
        <x:f>IF(OR(D90="",E90=""),"",D90*E90)</x:f>
      </x:c>
    </x:row>
    <x:row r="91">
      <x:c r="D91" s="34"/>
      <x:c r="E91" s="37"/>
      <x:c r="F91" s="34" t="str">
        <x:f>IF(OR(D91="",E91=""),"",D91*E91)</x:f>
      </x:c>
    </x:row>
    <x:row r="92">
      <x:c r="D92" s="34"/>
      <x:c r="E92" s="37"/>
      <x:c r="F92" s="34" t="str">
        <x:f>IF(OR(D92="",E92=""),"",D92*E92)</x:f>
      </x:c>
    </x:row>
    <x:row r="93">
      <x:c r="D93" s="34"/>
      <x:c r="E93" s="37"/>
      <x:c r="F93" s="34" t="str">
        <x:f>IF(OR(D93="",E93=""),"",D93*E93)</x:f>
      </x:c>
    </x:row>
    <x:row r="94">
      <x:c r="D94" s="34"/>
      <x:c r="E94" s="37"/>
      <x:c r="F94" s="34" t="str">
        <x:f>IF(OR(D94="",E94=""),"",D94*E94)</x:f>
      </x:c>
    </x:row>
    <x:row r="95">
      <x:c r="D95" s="34"/>
      <x:c r="E95" s="37"/>
      <x:c r="F95" s="34" t="str">
        <x:f>IF(OR(D95="",E95=""),"",D95*E95)</x:f>
      </x:c>
    </x:row>
    <x:row r="96">
      <x:c r="D96" s="34"/>
      <x:c r="E96" s="37"/>
      <x:c r="F96" s="34" t="str">
        <x:f>IF(OR(D96="",E96=""),"",D96*E96)</x:f>
      </x:c>
    </x:row>
    <x:row r="97">
      <x:c r="D97" s="34"/>
      <x:c r="E97" s="37"/>
      <x:c r="F97" s="34" t="str">
        <x:f>IF(OR(D97="",E97=""),"",D97*E97)</x:f>
      </x:c>
    </x:row>
    <x:row r="98">
      <x:c r="D98" s="34"/>
      <x:c r="E98" s="37"/>
      <x:c r="F98" s="34" t="str">
        <x:f>IF(OR(D98="",E98=""),"",D98*E98)</x:f>
      </x:c>
    </x:row>
    <x:row r="99">
      <x:c r="D99" s="34"/>
      <x:c r="E99" s="37"/>
      <x:c r="F99" s="34" t="str">
        <x:f>IF(OR(D99="",E99=""),"",D99*E99)</x:f>
      </x:c>
    </x:row>
    <x:row r="100">
      <x:c r="D100" s="34"/>
      <x:c r="E100" s="37"/>
      <x:c r="F100" s="34" t="str">
        <x:f>IF(OR(D100="",E100=""),"",D100*E100)</x:f>
      </x:c>
    </x:row>
    <x:row r="101">
      <x:c r="D101" s="34"/>
      <x:c r="E101" s="37"/>
      <x:c r="F101" s="34" t="str">
        <x:f>IF(OR(D101="",E101=""),"",D101*E101)</x:f>
      </x:c>
    </x:row>
    <x:row r="102">
      <x:c r="D102" s="34"/>
      <x:c r="E102" s="37"/>
      <x:c r="F102" s="34" t="str">
        <x:f>IF(OR(D102="",E102=""),"",D102*E102)</x:f>
      </x:c>
    </x:row>
    <x:row r="103">
      <x:c r="D103" s="34"/>
      <x:c r="E103" s="37"/>
      <x:c r="F103" s="34" t="str">
        <x:f>IF(OR(D103="",E103=""),"",D103*E103)</x:f>
      </x:c>
    </x:row>
    <x:row r="104">
      <x:c r="D104" s="34"/>
      <x:c r="E104" s="37"/>
      <x:c r="F104" s="34" t="str">
        <x:f>IF(OR(D104="",E104=""),"",D104*E104)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30" hidden="0" customWidth="1"/>
  </x:cols>
  <x:sheetData>
    <x:row r="1">
      <x:c r="A1" s="2" t="str">
        <x:v>Subscription Register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5" t="str">
        <x:v>Track monthly AI, software, cloud, and bookkeeping spend with receipt evidence and business-use percentage.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9" t="str">
        <x:v>Vendor</x:v>
      </x:c>
      <x:c r="B4" s="10" t="str">
        <x:v>Category</x:v>
      </x:c>
      <x:c r="C4" s="10" t="str">
        <x:v>Owner</x:v>
      </x:c>
      <x:c r="D4" s="10" t="str">
        <x:v>Monthly Cost</x:v>
      </x:c>
      <x:c r="E4" s="10" t="str">
        <x:v>Business Use %</x:v>
      </x:c>
      <x:c r="F4" s="10" t="str">
        <x:v>Renewal</x:v>
      </x:c>
      <x:c r="G4" s="10" t="str">
        <x:v>Annual Business Cost</x:v>
      </x:c>
      <x:c r="H4" s="10" t="str">
        <x:v>Evidence</x:v>
      </x:c>
      <x:c r="I4" s="11" t="str">
        <x:v>Notes</x:v>
      </x:c>
    </x:row>
    <x:row r="5">
      <x:c r="A5" s="18" t="str">
        <x:v>OpenAI</x:v>
      </x:c>
      <x:c r="B5" s="19" t="str">
        <x:v>AI platform</x:v>
      </x:c>
      <x:c r="C5" s="19" t="str">
        <x:v>LLM Ops</x:v>
      </x:c>
      <x:c r="D5" s="32" t="n">
        <x:v>20</x:v>
      </x:c>
      <x:c r="E5" s="35" t="n">
        <x:v>1</x:v>
      </x:c>
      <x:c r="F5" s="19" t="str">
        <x:v>Monthly</x:v>
      </x:c>
      <x:c r="G5" s="32" t="n">
        <x:f>IF(OR(D5="",E5=""),"",D5*12*E5)</x:f>
        <x:v>240</x:v>
      </x:c>
      <x:c r="H5" s="19" t="str">
        <x:v>Partial</x:v>
      </x:c>
      <x:c r="I5" s="20" t="str">
        <x:v>Move to ADA card after banking.</x:v>
      </x:c>
    </x:row>
    <x:row r="6">
      <x:c r="A6" s="18" t="str">
        <x:v>Anthropic</x:v>
      </x:c>
      <x:c r="B6" s="19" t="str">
        <x:v>AI coding</x:v>
      </x:c>
      <x:c r="C6" s="19" t="str">
        <x:v>Engineering</x:v>
      </x:c>
      <x:c r="D6" s="32" t="n">
        <x:v>20</x:v>
      </x:c>
      <x:c r="E6" s="35" t="n">
        <x:v>1</x:v>
      </x:c>
      <x:c r="F6" s="19" t="str">
        <x:v>Monthly</x:v>
      </x:c>
      <x:c r="G6" s="32" t="n">
        <x:f>IF(OR(D6="",E6=""),"",D6*12*E6)</x:f>
        <x:v>240</x:v>
      </x:c>
      <x:c r="H6" s="19" t="str">
        <x:v>Partial</x:v>
      </x:c>
      <x:c r="I6" s="20" t="str">
        <x:v>Move to ADA card after banking.</x:v>
      </x:c>
    </x:row>
    <x:row r="7">
      <x:c r="A7" s="18" t="str">
        <x:v>Google Gemini / AI Studio</x:v>
      </x:c>
      <x:c r="B7" s="19" t="str">
        <x:v>AI platform</x:v>
      </x:c>
      <x:c r="C7" s="19" t="str">
        <x:v>LLM Ops</x:v>
      </x:c>
      <x:c r="D7" s="32" t="n">
        <x:v>0</x:v>
      </x:c>
      <x:c r="E7" s="35" t="n">
        <x:v>1</x:v>
      </x:c>
      <x:c r="F7" s="19" t="str">
        <x:v>Usage-based</x:v>
      </x:c>
      <x:c r="G7" s="32" t="str">
        <x:f>IF(OR(D7="",E7=""),"",D7*12*E7)</x:f>
      </x:c>
      <x:c r="H7" s="19" t="str">
        <x:v>Missing</x:v>
      </x:c>
      <x:c r="I7" s="20" t="str">
        <x:v>Record API invoices once paid.</x:v>
      </x:c>
    </x:row>
    <x:row r="8">
      <x:c r="A8" s="18" t="str">
        <x:v>GitHub</x:v>
      </x:c>
      <x:c r="B8" s="19" t="str">
        <x:v>Source control</x:v>
      </x:c>
      <x:c r="C8" s="19" t="str">
        <x:v>Engineering</x:v>
      </x:c>
      <x:c r="D8" s="32" t="n">
        <x:v>10</x:v>
      </x:c>
      <x:c r="E8" s="35" t="n">
        <x:v>1</x:v>
      </x:c>
      <x:c r="F8" s="19" t="str">
        <x:v>Monthly</x:v>
      </x:c>
      <x:c r="G8" s="32" t="n">
        <x:f>IF(OR(D8="",E8=""),"",D8*12*E8)</x:f>
        <x:v>120</x:v>
      </x:c>
      <x:c r="H8" s="19" t="str">
        <x:v>Ready</x:v>
      </x:c>
      <x:c r="I8" s="20" t="str">
        <x:v>Attach monthly receipt.</x:v>
      </x:c>
    </x:row>
    <x:row r="9">
      <x:c r="A9" s="18" t="str">
        <x:v>Google Workspace</x:v>
      </x:c>
      <x:c r="B9" s="19" t="str">
        <x:v>Business email</x:v>
      </x:c>
      <x:c r="C9" s="19" t="str">
        <x:v>Admin</x:v>
      </x:c>
      <x:c r="D9" s="32" t="n">
        <x:v>14</x:v>
      </x:c>
      <x:c r="E9" s="35" t="n">
        <x:v>1</x:v>
      </x:c>
      <x:c r="F9" s="19" t="str">
        <x:v>Monthly</x:v>
      </x:c>
      <x:c r="G9" s="32" t="n">
        <x:f>IF(OR(D9="",E9=""),"",D9*12*E9)</x:f>
        <x:v>168</x:v>
      </x:c>
      <x:c r="H9" s="19" t="str">
        <x:v>Missing</x:v>
      </x:c>
      <x:c r="I9" s="20" t="str">
        <x:v>Open after bank/email decision.</x:v>
      </x:c>
    </x:row>
    <x:row r="10">
      <x:c r="A10" s="18" t="str">
        <x:v>QuickBooks / Wave decision</x:v>
      </x:c>
      <x:c r="B10" s="19" t="str">
        <x:v>Bookkeeping</x:v>
      </x:c>
      <x:c r="C10" s="19" t="str">
        <x:v>Finance</x:v>
      </x:c>
      <x:c r="D10" s="32" t="n">
        <x:v>30</x:v>
      </x:c>
      <x:c r="E10" s="35" t="n">
        <x:v>1</x:v>
      </x:c>
      <x:c r="F10" s="19" t="str">
        <x:v>TBD</x:v>
      </x:c>
      <x:c r="G10" s="32" t="n">
        <x:f>IF(OR(D10="",E10=""),"",D10*12*E10)</x:f>
        <x:v>360</x:v>
      </x:c>
      <x:c r="H10" s="19" t="str">
        <x:v>Missing</x:v>
      </x:c>
      <x:c r="I10" s="20" t="str">
        <x:v>CPA should approve tool and account mapping.</x:v>
      </x:c>
    </x:row>
    <x:row r="11">
      <x:c r="A11" s="18" t="str">
        <x:v>Cloud / VPS / storage</x:v>
      </x:c>
      <x:c r="B11" s="19" t="str">
        <x:v>Infrastructure</x:v>
      </x:c>
      <x:c r="C11" s="19" t="str">
        <x:v>Engineering</x:v>
      </x:c>
      <x:c r="D11" s="32" t="n">
        <x:v>0</x:v>
      </x:c>
      <x:c r="E11" s="35" t="n">
        <x:v>1</x:v>
      </x:c>
      <x:c r="F11" s="19" t="str">
        <x:v>Usage-based</x:v>
      </x:c>
      <x:c r="G11" s="32" t="str">
        <x:f>IF(OR(D11="",E11=""),"",D11*12*E11)</x:f>
      </x:c>
      <x:c r="H11" s="19" t="str">
        <x:v>Missing</x:v>
      </x:c>
      <x:c r="I11" s="20" t="str">
        <x:v>Add each provider.</x:v>
      </x:c>
    </x:row>
    <x:row r="12">
      <x:c r="A12" s="21" t="str">
        <x:v>Legion local stack</x:v>
      </x:c>
      <x:c r="B12" s="22" t="str">
        <x:v>Internal platform</x:v>
      </x:c>
      <x:c r="C12" s="22" t="str">
        <x:v>Engineering</x:v>
      </x:c>
      <x:c r="D12" s="33" t="n">
        <x:v>0</x:v>
      </x:c>
      <x:c r="E12" s="36" t="n">
        <x:v>1</x:v>
      </x:c>
      <x:c r="F12" s="22" t="str">
        <x:v>Self-hosted</x:v>
      </x:c>
      <x:c r="G12" s="33" t="str">
        <x:f>IF(OR(D12="",E12=""),"",D12*12*E12)</x:f>
      </x:c>
      <x:c r="H12" s="22" t="str">
        <x:v>Ready</x:v>
      </x:c>
      <x:c r="I12" s="23" t="str">
        <x:v>Track hardware/cloud inputs separately.</x:v>
      </x:c>
    </x:row>
    <x:row r="13">
      <x:c r="D13" s="34"/>
      <x:c r="E13" s="37"/>
      <x:c r="G13" s="34" t="str">
        <x:f>IF(OR(D13="",E13=""),"",D13*12*E13)</x:f>
      </x:c>
    </x:row>
    <x:row r="14">
      <x:c r="D14" s="34"/>
      <x:c r="E14" s="37"/>
      <x:c r="G14" s="34" t="str">
        <x:f>IF(OR(D14="",E14=""),"",D14*12*E14)</x:f>
      </x:c>
    </x:row>
    <x:row r="15">
      <x:c r="D15" s="34"/>
      <x:c r="E15" s="37"/>
      <x:c r="G15" s="34" t="str">
        <x:f>IF(OR(D15="",E15=""),"",D15*12*E15)</x:f>
      </x:c>
    </x:row>
    <x:row r="16">
      <x:c r="D16" s="34"/>
      <x:c r="E16" s="37"/>
      <x:c r="G16" s="34" t="str">
        <x:f>IF(OR(D16="",E16=""),"",D16*12*E16)</x:f>
      </x:c>
    </x:row>
    <x:row r="17">
      <x:c r="D17" s="34"/>
      <x:c r="E17" s="37"/>
      <x:c r="G17" s="34" t="str">
        <x:f>IF(OR(D17="",E17=""),"",D17*12*E17)</x:f>
      </x:c>
    </x:row>
    <x:row r="18">
      <x:c r="D18" s="34"/>
      <x:c r="E18" s="37"/>
      <x:c r="G18" s="34" t="str">
        <x:f>IF(OR(D18="",E18=""),"",D18*12*E18)</x:f>
      </x:c>
    </x:row>
    <x:row r="19">
      <x:c r="D19" s="34"/>
      <x:c r="E19" s="37"/>
      <x:c r="G19" s="34" t="str">
        <x:f>IF(OR(D19="",E19=""),"",D19*12*E19)</x:f>
      </x:c>
    </x:row>
    <x:row r="20">
      <x:c r="D20" s="34"/>
      <x:c r="E20" s="37"/>
      <x:c r="G20" s="34" t="str">
        <x:f>IF(OR(D20="",E20=""),"",D20*12*E20)</x:f>
      </x:c>
    </x:row>
    <x:row r="21">
      <x:c r="D21" s="34"/>
      <x:c r="E21" s="37"/>
      <x:c r="G21" s="34" t="str">
        <x:f>IF(OR(D21="",E21=""),"",D21*12*E21)</x:f>
      </x:c>
    </x:row>
    <x:row r="22">
      <x:c r="D22" s="34"/>
      <x:c r="E22" s="37"/>
      <x:c r="G22" s="34" t="str">
        <x:f>IF(OR(D22="",E22=""),"",D22*12*E22)</x:f>
      </x:c>
    </x:row>
    <x:row r="23">
      <x:c r="D23" s="34"/>
      <x:c r="E23" s="37"/>
      <x:c r="G23" s="34" t="str">
        <x:f>IF(OR(D23="",E23=""),"",D23*12*E23)</x:f>
      </x:c>
    </x:row>
    <x:row r="24">
      <x:c r="D24" s="34"/>
      <x:c r="E24" s="37"/>
      <x:c r="G24" s="34" t="str">
        <x:f>IF(OR(D24="",E24=""),"",D24*12*E24)</x:f>
      </x:c>
    </x:row>
    <x:row r="25">
      <x:c r="D25" s="34"/>
      <x:c r="E25" s="37"/>
      <x:c r="G25" s="34" t="str">
        <x:f>IF(OR(D25="",E25=""),"",D25*12*E25)</x:f>
      </x:c>
    </x:row>
    <x:row r="26">
      <x:c r="D26" s="34"/>
      <x:c r="E26" s="37"/>
      <x:c r="G26" s="34" t="str">
        <x:f>IF(OR(D26="",E26=""),"",D26*12*E26)</x:f>
      </x:c>
    </x:row>
    <x:row r="27">
      <x:c r="D27" s="34"/>
      <x:c r="E27" s="37"/>
      <x:c r="G27" s="34" t="str">
        <x:f>IF(OR(D27="",E27=""),"",D27*12*E27)</x:f>
      </x:c>
    </x:row>
    <x:row r="28">
      <x:c r="D28" s="34"/>
      <x:c r="E28" s="37"/>
      <x:c r="G28" s="34" t="str">
        <x:f>IF(OR(D28="",E28=""),"",D28*12*E28)</x:f>
      </x:c>
    </x:row>
    <x:row r="29">
      <x:c r="D29" s="34"/>
      <x:c r="E29" s="37"/>
      <x:c r="G29" s="34" t="str">
        <x:f>IF(OR(D29="",E29=""),"",D29*12*E29)</x:f>
      </x:c>
    </x:row>
    <x:row r="30">
      <x:c r="D30" s="34"/>
      <x:c r="E30" s="37"/>
      <x:c r="G30" s="34" t="str">
        <x:f>IF(OR(D30="",E30=""),"",D30*12*E30)</x:f>
      </x:c>
    </x:row>
    <x:row r="31">
      <x:c r="D31" s="34"/>
      <x:c r="E31" s="37"/>
      <x:c r="G31" s="34" t="str">
        <x:f>IF(OR(D31="",E31=""),"",D31*12*E31)</x:f>
      </x:c>
    </x:row>
    <x:row r="32">
      <x:c r="D32" s="34"/>
      <x:c r="E32" s="37"/>
      <x:c r="G32" s="34" t="str">
        <x:f>IF(OR(D32="",E32=""),"",D32*12*E32)</x:f>
      </x:c>
    </x:row>
    <x:row r="33">
      <x:c r="D33" s="34"/>
      <x:c r="E33" s="37"/>
      <x:c r="G33" s="34" t="str">
        <x:f>IF(OR(D33="",E33=""),"",D33*12*E33)</x:f>
      </x:c>
    </x:row>
    <x:row r="34">
      <x:c r="D34" s="34"/>
      <x:c r="E34" s="37"/>
      <x:c r="G34" s="34" t="str">
        <x:f>IF(OR(D34="",E34=""),"",D34*12*E34)</x:f>
      </x:c>
    </x:row>
    <x:row r="35">
      <x:c r="D35" s="34"/>
      <x:c r="E35" s="37"/>
      <x:c r="G35" s="34" t="str">
        <x:f>IF(OR(D35="",E35=""),"",D35*12*E35)</x:f>
      </x:c>
    </x:row>
    <x:row r="36">
      <x:c r="D36" s="34"/>
      <x:c r="E36" s="37"/>
      <x:c r="G36" s="34" t="str">
        <x:f>IF(OR(D36="",E36=""),"",D36*12*E36)</x:f>
      </x:c>
    </x:row>
    <x:row r="37">
      <x:c r="D37" s="34"/>
      <x:c r="E37" s="37"/>
      <x:c r="G37" s="34" t="str">
        <x:f>IF(OR(D37="",E37=""),"",D37*12*E37)</x:f>
      </x:c>
    </x:row>
    <x:row r="38">
      <x:c r="D38" s="34"/>
      <x:c r="E38" s="37"/>
      <x:c r="G38" s="34" t="str">
        <x:f>IF(OR(D38="",E38=""),"",D38*12*E38)</x:f>
      </x:c>
    </x:row>
    <x:row r="39">
      <x:c r="D39" s="34"/>
      <x:c r="E39" s="37"/>
      <x:c r="G39" s="34" t="str">
        <x:f>IF(OR(D39="",E39=""),"",D39*12*E39)</x:f>
      </x:c>
    </x:row>
    <x:row r="40">
      <x:c r="D40" s="34"/>
      <x:c r="E40" s="37"/>
      <x:c r="G40" s="34" t="str">
        <x:f>IF(OR(D40="",E40=""),"",D40*12*E40)</x:f>
      </x:c>
    </x:row>
    <x:row r="41">
      <x:c r="D41" s="34"/>
      <x:c r="E41" s="37"/>
      <x:c r="G41" s="34" t="str">
        <x:f>IF(OR(D41="",E41=""),"",D41*12*E41)</x:f>
      </x:c>
    </x:row>
    <x:row r="42">
      <x:c r="D42" s="34"/>
      <x:c r="E42" s="37"/>
      <x:c r="G42" s="34" t="str">
        <x:f>IF(OR(D42="",E42=""),"",D42*12*E42)</x:f>
      </x:c>
    </x:row>
    <x:row r="43">
      <x:c r="D43" s="34"/>
      <x:c r="E43" s="37"/>
      <x:c r="G43" s="34" t="str">
        <x:f>IF(OR(D43="",E43=""),"",D43*12*E43)</x:f>
      </x:c>
    </x:row>
    <x:row r="44">
      <x:c r="D44" s="34"/>
      <x:c r="E44" s="37"/>
      <x:c r="G44" s="34" t="str">
        <x:f>IF(OR(D44="",E44=""),"",D44*12*E44)</x:f>
      </x:c>
    </x:row>
    <x:row r="45">
      <x:c r="D45" s="34"/>
      <x:c r="E45" s="37"/>
      <x:c r="G45" s="34" t="str">
        <x:f>IF(OR(D45="",E45=""),"",D45*12*E45)</x:f>
      </x:c>
    </x:row>
    <x:row r="46">
      <x:c r="D46" s="34"/>
      <x:c r="E46" s="37"/>
      <x:c r="G46" s="34" t="str">
        <x:f>IF(OR(D46="",E46=""),"",D46*12*E46)</x:f>
      </x:c>
    </x:row>
    <x:row r="47">
      <x:c r="D47" s="34"/>
      <x:c r="E47" s="37"/>
      <x:c r="G47" s="34" t="str">
        <x:f>IF(OR(D47="",E47=""),"",D47*12*E47)</x:f>
      </x:c>
    </x:row>
    <x:row r="48">
      <x:c r="D48" s="34"/>
      <x:c r="E48" s="37"/>
      <x:c r="G48" s="34" t="str">
        <x:f>IF(OR(D48="",E48=""),"",D48*12*E48)</x:f>
      </x:c>
    </x:row>
    <x:row r="49">
      <x:c r="D49" s="34"/>
      <x:c r="E49" s="37"/>
      <x:c r="G49" s="34" t="str">
        <x:f>IF(OR(D49="",E49=""),"",D49*12*E49)</x:f>
      </x:c>
    </x:row>
    <x:row r="50">
      <x:c r="D50" s="34"/>
      <x:c r="E50" s="37"/>
      <x:c r="G50" s="34" t="str">
        <x:f>IF(OR(D50="",E50=""),"",D50*12*E50)</x:f>
      </x:c>
    </x:row>
    <x:row r="51">
      <x:c r="D51" s="34"/>
      <x:c r="E51" s="37"/>
      <x:c r="G51" s="34" t="str">
        <x:f>IF(OR(D51="",E51=""),"",D51*12*E51)</x:f>
      </x:c>
    </x:row>
    <x:row r="52">
      <x:c r="D52" s="34"/>
      <x:c r="E52" s="37"/>
      <x:c r="G52" s="34" t="str">
        <x:f>IF(OR(D52="",E52=""),"",D52*12*E52)</x:f>
      </x:c>
    </x:row>
    <x:row r="53">
      <x:c r="D53" s="34"/>
      <x:c r="E53" s="37"/>
      <x:c r="G53" s="34" t="str">
        <x:f>IF(OR(D53="",E53=""),"",D53*12*E53)</x:f>
      </x:c>
    </x:row>
    <x:row r="54">
      <x:c r="D54" s="34"/>
      <x:c r="E54" s="37"/>
      <x:c r="G54" s="34" t="str">
        <x:f>IF(OR(D54="",E54=""),"",D54*12*E54)</x:f>
      </x:c>
    </x:row>
    <x:row r="55">
      <x:c r="D55" s="34"/>
      <x:c r="E55" s="37"/>
      <x:c r="G55" s="34" t="str">
        <x:f>IF(OR(D55="",E55=""),"",D55*12*E55)</x:f>
      </x:c>
    </x:row>
    <x:row r="56">
      <x:c r="D56" s="34"/>
      <x:c r="E56" s="37"/>
      <x:c r="G56" s="34" t="str">
        <x:f>IF(OR(D56="",E56=""),"",D56*12*E56)</x:f>
      </x:c>
    </x:row>
    <x:row r="57">
      <x:c r="D57" s="34"/>
      <x:c r="E57" s="37"/>
      <x:c r="G57" s="34" t="str">
        <x:f>IF(OR(D57="",E57=""),"",D57*12*E57)</x:f>
      </x:c>
    </x:row>
    <x:row r="58">
      <x:c r="D58" s="34"/>
      <x:c r="E58" s="37"/>
      <x:c r="G58" s="34" t="str">
        <x:f>IF(OR(D58="",E58=""),"",D58*12*E58)</x:f>
      </x:c>
    </x:row>
    <x:row r="59">
      <x:c r="D59" s="34"/>
      <x:c r="E59" s="37"/>
      <x:c r="G59" s="34" t="str">
        <x:f>IF(OR(D59="",E59=""),"",D59*12*E59)</x:f>
      </x:c>
    </x:row>
    <x:row r="60">
      <x:c r="D60" s="34"/>
      <x:c r="E60" s="37"/>
      <x:c r="G60" s="34" t="str">
        <x:f>IF(OR(D60="",E60=""),"",D60*12*E60)</x:f>
      </x:c>
    </x:row>
    <x:row r="61">
      <x:c r="D61" s="34"/>
      <x:c r="E61" s="37"/>
      <x:c r="G61" s="34" t="str">
        <x:f>IF(OR(D61="",E61=""),"",D61*12*E61)</x:f>
      </x:c>
    </x:row>
    <x:row r="62">
      <x:c r="D62" s="34"/>
      <x:c r="E62" s="37"/>
      <x:c r="G62" s="34" t="str">
        <x:f>IF(OR(D62="",E62=""),"",D62*12*E62)</x:f>
      </x:c>
    </x:row>
    <x:row r="63">
      <x:c r="D63" s="34"/>
      <x:c r="E63" s="37"/>
      <x:c r="G63" s="34" t="str">
        <x:f>IF(OR(D63="",E63=""),"",D63*12*E63)</x:f>
      </x:c>
    </x:row>
    <x:row r="64">
      <x:c r="D64" s="34"/>
      <x:c r="E64" s="37"/>
      <x:c r="G64" s="34" t="str">
        <x:f>IF(OR(D64="",E64=""),"",D64*12*E64)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</x:cols>
  <x:sheetData>
    <x:row r="1">
      <x:c r="A1" s="2" t="str">
        <x:v>Asset Register And Transfer Packet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5" t="str">
        <x:v>Use documented FMV only. Upgrades and configuration support value only when comparable market evidence supports it.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9" t="str">
        <x:v>Asset</x:v>
      </x:c>
      <x:c r="B4" s="10" t="str">
        <x:v>Type</x:v>
      </x:c>
      <x:c r="C4" s="10" t="str">
        <x:v>Current Owner</x:v>
      </x:c>
      <x:c r="D4" s="10" t="str">
        <x:v>Serial / ID</x:v>
      </x:c>
      <x:c r="E4" s="10" t="str">
        <x:v>Original Cost</x:v>
      </x:c>
      <x:c r="F4" s="10" t="str">
        <x:v>Upgrade Cost</x:v>
      </x:c>
      <x:c r="G4" s="10" t="str">
        <x:v>Current FMV</x:v>
      </x:c>
      <x:c r="H4" s="10" t="str">
        <x:v>FMV Evidence</x:v>
      </x:c>
      <x:c r="I4" s="10" t="str">
        <x:v>Business Use %</x:v>
      </x:c>
      <x:c r="J4" s="10" t="str">
        <x:v>Business Basis</x:v>
      </x:c>
      <x:c r="K4" s="10" t="str">
        <x:v>Transfer Method</x:v>
      </x:c>
      <x:c r="L4" s="11" t="str">
        <x:v>Notes</x:v>
      </x:c>
    </x:row>
    <x:row r="5">
      <x:c r="A5" s="18" t="str">
        <x:v>Main AI workstation</x:v>
      </x:c>
      <x:c r="B5" s="19" t="str">
        <x:v>Computer hardware</x:v>
      </x:c>
      <x:c r="C5" s="19" t="str">
        <x:v>Adam</x:v>
      </x:c>
      <x:c r="D5" s="19" t="str"/>
      <x:c r="E5" s="32" t="str"/>
      <x:c r="F5" s="32" t="str"/>
      <x:c r="G5" s="32" t="str"/>
      <x:c r="H5" s="19" t="str">
        <x:v>Partial</x:v>
      </x:c>
      <x:c r="I5" s="35" t="n">
        <x:v>0.9</x:v>
      </x:c>
      <x:c r="J5" s="32" t="str">
        <x:f>IF(OR(G5="",I5=""),"",G5*I5)</x:f>
      </x:c>
      <x:c r="K5" s="19" t="str">
        <x:v>Owner contribution / bill of sale</x:v>
      </x:c>
      <x:c r="L5" s="20" t="str">
        <x:v>Add photos, specs, serials, receipts, comparables.</x:v>
      </x:c>
    </x:row>
    <x:row r="6">
      <x:c r="A6" s="18" t="str">
        <x:v>Monitors and peripherals</x:v>
      </x:c>
      <x:c r="B6" s="19" t="str">
        <x:v>Computer hardware</x:v>
      </x:c>
      <x:c r="C6" s="19" t="str">
        <x:v>Adam</x:v>
      </x:c>
      <x:c r="D6" s="19" t="str"/>
      <x:c r="E6" s="32" t="str"/>
      <x:c r="F6" s="32" t="str"/>
      <x:c r="G6" s="32" t="str"/>
      <x:c r="H6" s="19" t="str">
        <x:v>Missing</x:v>
      </x:c>
      <x:c r="I6" s="35" t="n">
        <x:v>0.9</x:v>
      </x:c>
      <x:c r="J6" s="32" t="str">
        <x:f>IF(OR(G6="",I6=""),"",G6*I6)</x:f>
      </x:c>
      <x:c r="K6" s="19" t="str">
        <x:v>Owner contribution / bill of sale</x:v>
      </x:c>
      <x:c r="L6" s="20" t="str">
        <x:v>List each item with serial where available.</x:v>
      </x:c>
    </x:row>
    <x:row r="7">
      <x:c r="A7" s="18" t="str">
        <x:v>Upgraded components</x:v>
      </x:c>
      <x:c r="B7" s="19" t="str">
        <x:v>Computer components</x:v>
      </x:c>
      <x:c r="C7" s="19" t="str">
        <x:v>Adam</x:v>
      </x:c>
      <x:c r="D7" s="19" t="str"/>
      <x:c r="E7" s="32" t="str"/>
      <x:c r="F7" s="32" t="str"/>
      <x:c r="G7" s="32" t="str"/>
      <x:c r="H7" s="19" t="str">
        <x:v>Missing</x:v>
      </x:c>
      <x:c r="I7" s="35" t="n">
        <x:v>0.9</x:v>
      </x:c>
      <x:c r="J7" s="32" t="str">
        <x:f>IF(OR(G7="",I7=""),"",G7*I7)</x:f>
      </x:c>
      <x:c r="K7" s="19" t="str">
        <x:v>Owner contribution / bill of sale</x:v>
      </x:c>
      <x:c r="L7" s="20" t="str">
        <x:v>GPU/RAM/storage upgrades need receipts and comparables.</x:v>
      </x:c>
    </x:row>
    <x:row r="8">
      <x:c r="A8" s="18" t="str">
        <x:v>Robot hardware</x:v>
      </x:c>
      <x:c r="B8" s="19" t="str">
        <x:v>Robot/equipment</x:v>
      </x:c>
      <x:c r="C8" s="19" t="str">
        <x:v>Adam or ADA</x:v>
      </x:c>
      <x:c r="D8" s="19" t="str"/>
      <x:c r="E8" s="32" t="str"/>
      <x:c r="F8" s="32" t="str"/>
      <x:c r="G8" s="32" t="str"/>
      <x:c r="H8" s="19" t="str">
        <x:v>Missing</x:v>
      </x:c>
      <x:c r="I8" s="35" t="n">
        <x:v>1</x:v>
      </x:c>
      <x:c r="J8" s="32" t="str">
        <x:f>IF(OR(G8="",I8=""),"",G8*I8)</x:f>
      </x:c>
      <x:c r="K8" s="19" t="str">
        <x:v>ADA purchase / FMV transfer</x:v>
      </x:c>
      <x:c r="L8" s="20" t="str">
        <x:v>ADA buys directly when possible.</x:v>
      </x:c>
    </x:row>
    <x:row r="9">
      <x:c r="A9" s="18" t="str">
        <x:v>Robot-control software</x:v>
      </x:c>
      <x:c r="B9" s="19" t="str">
        <x:v>Software/IP</x:v>
      </x:c>
      <x:c r="C9" s="19" t="str">
        <x:v>Adam</x:v>
      </x:c>
      <x:c r="D9" s="19" t="str"/>
      <x:c r="E9" s="32" t="str"/>
      <x:c r="F9" s="32" t="str"/>
      <x:c r="G9" s="32" t="str"/>
      <x:c r="H9" s="19" t="str">
        <x:v>Missing</x:v>
      </x:c>
      <x:c r="I9" s="35" t="n">
        <x:v>1</x:v>
      </x:c>
      <x:c r="J9" s="32" t="str">
        <x:f>IF(OR(G9="",I9=""),"",G9*I9)</x:f>
      </x:c>
      <x:c r="K9" s="19" t="str">
        <x:v>IP assignment/license</x:v>
      </x:c>
      <x:c r="L9" s="20" t="str">
        <x:v>CPA/attorney decide value and treatment.</x:v>
      </x:c>
    </x:row>
    <x:row r="10">
      <x:c r="A10" s="21" t="str">
        <x:v>Home office equipment</x:v>
      </x:c>
      <x:c r="B10" s="22" t="str">
        <x:v>Office equipment</x:v>
      </x:c>
      <x:c r="C10" s="22" t="str">
        <x:v>Adam</x:v>
      </x:c>
      <x:c r="D10" s="22" t="str"/>
      <x:c r="E10" s="33" t="str"/>
      <x:c r="F10" s="33" t="str"/>
      <x:c r="G10" s="33" t="str"/>
      <x:c r="H10" s="22" t="str">
        <x:v>Partial</x:v>
      </x:c>
      <x:c r="I10" s="36" t="n">
        <x:v>1</x:v>
      </x:c>
      <x:c r="J10" s="33" t="str">
        <x:f>IF(OR(G10="",I10=""),"",G10*I10)</x:f>
      </x:c>
      <x:c r="K10" s="22" t="str">
        <x:v>Owner contribution / reimbursement</x:v>
      </x:c>
      <x:c r="L10" s="23" t="str">
        <x:v>Desk, chair, lighting, office-only equipment.</x:v>
      </x:c>
    </x:row>
    <x:row r="11">
      <x:c r="E11" s="34"/>
      <x:c r="F11" s="34"/>
      <x:c r="G11" s="34"/>
      <x:c r="I11" s="37"/>
      <x:c r="J11" s="34" t="str">
        <x:f>IF(OR(G11="",I11=""),"",G11*I11)</x:f>
      </x:c>
    </x:row>
    <x:row r="12">
      <x:c r="E12" s="34"/>
      <x:c r="F12" s="34"/>
      <x:c r="G12" s="34"/>
      <x:c r="I12" s="37"/>
      <x:c r="J12" s="34" t="str">
        <x:f>IF(OR(G12="",I12=""),"",G12*I12)</x:f>
      </x:c>
    </x:row>
    <x:row r="13">
      <x:c r="E13" s="34"/>
      <x:c r="F13" s="34"/>
      <x:c r="G13" s="34"/>
      <x:c r="I13" s="37"/>
      <x:c r="J13" s="34" t="str">
        <x:f>IF(OR(G13="",I13=""),"",G13*I13)</x:f>
      </x:c>
    </x:row>
    <x:row r="14">
      <x:c r="E14" s="34"/>
      <x:c r="F14" s="34"/>
      <x:c r="G14" s="34"/>
      <x:c r="I14" s="37"/>
      <x:c r="J14" s="34" t="str">
        <x:f>IF(OR(G14="",I14=""),"",G14*I14)</x:f>
      </x:c>
    </x:row>
    <x:row r="15">
      <x:c r="E15" s="34"/>
      <x:c r="F15" s="34"/>
      <x:c r="G15" s="34"/>
      <x:c r="I15" s="37"/>
      <x:c r="J15" s="34" t="str">
        <x:f>IF(OR(G15="",I15=""),"",G15*I15)</x:f>
      </x:c>
    </x:row>
    <x:row r="16">
      <x:c r="E16" s="34"/>
      <x:c r="F16" s="34"/>
      <x:c r="G16" s="34"/>
      <x:c r="I16" s="37"/>
      <x:c r="J16" s="34" t="str">
        <x:f>IF(OR(G16="",I16=""),"",G16*I16)</x:f>
      </x:c>
    </x:row>
    <x:row r="17">
      <x:c r="E17" s="34"/>
      <x:c r="F17" s="34"/>
      <x:c r="G17" s="34"/>
      <x:c r="I17" s="37"/>
      <x:c r="J17" s="34" t="str">
        <x:f>IF(OR(G17="",I17=""),"",G17*I17)</x:f>
      </x:c>
    </x:row>
    <x:row r="18">
      <x:c r="E18" s="34"/>
      <x:c r="F18" s="34"/>
      <x:c r="G18" s="34"/>
      <x:c r="I18" s="37"/>
      <x:c r="J18" s="34" t="str">
        <x:f>IF(OR(G18="",I18=""),"",G18*I18)</x:f>
      </x:c>
    </x:row>
    <x:row r="19">
      <x:c r="E19" s="34"/>
      <x:c r="F19" s="34"/>
      <x:c r="G19" s="34"/>
      <x:c r="I19" s="37"/>
      <x:c r="J19" s="34" t="str">
        <x:f>IF(OR(G19="",I19=""),"",G19*I19)</x:f>
      </x:c>
    </x:row>
    <x:row r="20">
      <x:c r="E20" s="34"/>
      <x:c r="F20" s="34"/>
      <x:c r="G20" s="34"/>
      <x:c r="I20" s="37"/>
      <x:c r="J20" s="34" t="str">
        <x:f>IF(OR(G20="",I20=""),"",G20*I20)</x:f>
      </x:c>
    </x:row>
    <x:row r="21">
      <x:c r="E21" s="34"/>
      <x:c r="F21" s="34"/>
      <x:c r="G21" s="34"/>
      <x:c r="I21" s="37"/>
      <x:c r="J21" s="34" t="str">
        <x:f>IF(OR(G21="",I21=""),"",G21*I21)</x:f>
      </x:c>
    </x:row>
    <x:row r="22">
      <x:c r="E22" s="34"/>
      <x:c r="F22" s="34"/>
      <x:c r="G22" s="34"/>
      <x:c r="I22" s="37"/>
      <x:c r="J22" s="34" t="str">
        <x:f>IF(OR(G22="",I22=""),"",G22*I22)</x:f>
      </x:c>
    </x:row>
    <x:row r="23">
      <x:c r="E23" s="34"/>
      <x:c r="F23" s="34"/>
      <x:c r="G23" s="34"/>
      <x:c r="I23" s="37"/>
      <x:c r="J23" s="34" t="str">
        <x:f>IF(OR(G23="",I23=""),"",G23*I23)</x:f>
      </x:c>
    </x:row>
    <x:row r="24">
      <x:c r="E24" s="34"/>
      <x:c r="F24" s="34"/>
      <x:c r="G24" s="34"/>
      <x:c r="I24" s="37"/>
      <x:c r="J24" s="34" t="str">
        <x:f>IF(OR(G24="",I24=""),"",G24*I24)</x:f>
      </x:c>
    </x:row>
    <x:row r="25">
      <x:c r="E25" s="34"/>
      <x:c r="F25" s="34"/>
      <x:c r="G25" s="34"/>
      <x:c r="I25" s="37"/>
      <x:c r="J25" s="34" t="str">
        <x:f>IF(OR(G25="",I25=""),"",G25*I25)</x:f>
      </x:c>
    </x:row>
    <x:row r="26">
      <x:c r="E26" s="34"/>
      <x:c r="F26" s="34"/>
      <x:c r="G26" s="34"/>
      <x:c r="I26" s="37"/>
      <x:c r="J26" s="34" t="str">
        <x:f>IF(OR(G26="",I26=""),"",G26*I26)</x:f>
      </x:c>
    </x:row>
    <x:row r="27">
      <x:c r="E27" s="34"/>
      <x:c r="F27" s="34"/>
      <x:c r="G27" s="34"/>
      <x:c r="I27" s="37"/>
      <x:c r="J27" s="34" t="str">
        <x:f>IF(OR(G27="",I27=""),"",G27*I27)</x:f>
      </x:c>
    </x:row>
    <x:row r="28">
      <x:c r="E28" s="34"/>
      <x:c r="F28" s="34"/>
      <x:c r="G28" s="34"/>
      <x:c r="I28" s="37"/>
      <x:c r="J28" s="34" t="str">
        <x:f>IF(OR(G28="",I28=""),"",G28*I28)</x:f>
      </x:c>
    </x:row>
    <x:row r="29">
      <x:c r="E29" s="34"/>
      <x:c r="F29" s="34"/>
      <x:c r="G29" s="34"/>
      <x:c r="I29" s="37"/>
      <x:c r="J29" s="34" t="str">
        <x:f>IF(OR(G29="",I29=""),"",G29*I29)</x:f>
      </x:c>
    </x:row>
    <x:row r="30">
      <x:c r="E30" s="34"/>
      <x:c r="F30" s="34"/>
      <x:c r="G30" s="34"/>
      <x:c r="I30" s="37"/>
      <x:c r="J30" s="34" t="str">
        <x:f>IF(OR(G30="",I30=""),"",G30*I30)</x:f>
      </x:c>
    </x:row>
    <x:row r="31">
      <x:c r="E31" s="34"/>
      <x:c r="F31" s="34"/>
      <x:c r="G31" s="34"/>
      <x:c r="I31" s="37"/>
      <x:c r="J31" s="34" t="str">
        <x:f>IF(OR(G31="",I31=""),"",G31*I31)</x:f>
      </x:c>
    </x:row>
    <x:row r="32">
      <x:c r="E32" s="34"/>
      <x:c r="F32" s="34"/>
      <x:c r="G32" s="34"/>
      <x:c r="I32" s="37"/>
      <x:c r="J32" s="34" t="str">
        <x:f>IF(OR(G32="",I32=""),"",G32*I32)</x:f>
      </x:c>
    </x:row>
    <x:row r="33">
      <x:c r="E33" s="34"/>
      <x:c r="F33" s="34"/>
      <x:c r="G33" s="34"/>
      <x:c r="I33" s="37"/>
      <x:c r="J33" s="34" t="str">
        <x:f>IF(OR(G33="",I33=""),"",G33*I33)</x:f>
      </x:c>
    </x:row>
    <x:row r="34">
      <x:c r="E34" s="34"/>
      <x:c r="F34" s="34"/>
      <x:c r="G34" s="34"/>
      <x:c r="I34" s="37"/>
      <x:c r="J34" s="34" t="str">
        <x:f>IF(OR(G34="",I34=""),"",G34*I34)</x:f>
      </x:c>
    </x:row>
    <x:row r="35">
      <x:c r="E35" s="34"/>
      <x:c r="F35" s="34"/>
      <x:c r="G35" s="34"/>
      <x:c r="I35" s="37"/>
      <x:c r="J35" s="34" t="str">
        <x:f>IF(OR(G35="",I35=""),"",G35*I35)</x:f>
      </x:c>
    </x:row>
    <x:row r="36">
      <x:c r="E36" s="34"/>
      <x:c r="F36" s="34"/>
      <x:c r="G36" s="34"/>
      <x:c r="I36" s="37"/>
      <x:c r="J36" s="34" t="str">
        <x:f>IF(OR(G36="",I36=""),"",G36*I36)</x:f>
      </x:c>
    </x:row>
    <x:row r="37">
      <x:c r="E37" s="34"/>
      <x:c r="F37" s="34"/>
      <x:c r="G37" s="34"/>
      <x:c r="I37" s="37"/>
      <x:c r="J37" s="34" t="str">
        <x:f>IF(OR(G37="",I37=""),"",G37*I37)</x:f>
      </x:c>
    </x:row>
    <x:row r="38">
      <x:c r="E38" s="34"/>
      <x:c r="F38" s="34"/>
      <x:c r="G38" s="34"/>
      <x:c r="I38" s="37"/>
      <x:c r="J38" s="34" t="str">
        <x:f>IF(OR(G38="",I38=""),"",G38*I38)</x:f>
      </x:c>
    </x:row>
    <x:row r="39">
      <x:c r="E39" s="34"/>
      <x:c r="F39" s="34"/>
      <x:c r="G39" s="34"/>
      <x:c r="I39" s="37"/>
      <x:c r="J39" s="34" t="str">
        <x:f>IF(OR(G39="",I39=""),"",G39*I39)</x:f>
      </x:c>
    </x:row>
    <x:row r="40">
      <x:c r="E40" s="34"/>
      <x:c r="F40" s="34"/>
      <x:c r="G40" s="34"/>
      <x:c r="I40" s="37"/>
      <x:c r="J40" s="34" t="str">
        <x:f>IF(OR(G40="",I40=""),"",G40*I40)</x:f>
      </x:c>
    </x:row>
    <x:row r="41">
      <x:c r="E41" s="34"/>
      <x:c r="F41" s="34"/>
      <x:c r="G41" s="34"/>
      <x:c r="I41" s="37"/>
      <x:c r="J41" s="34" t="str">
        <x:f>IF(OR(G41="",I41=""),"",G41*I41)</x:f>
      </x:c>
    </x:row>
    <x:row r="42">
      <x:c r="E42" s="34"/>
      <x:c r="F42" s="34"/>
      <x:c r="G42" s="34"/>
      <x:c r="I42" s="37"/>
      <x:c r="J42" s="34" t="str">
        <x:f>IF(OR(G42="",I42=""),"",G42*I42)</x:f>
      </x:c>
    </x:row>
    <x:row r="43">
      <x:c r="E43" s="34"/>
      <x:c r="F43" s="34"/>
      <x:c r="G43" s="34"/>
      <x:c r="I43" s="37"/>
      <x:c r="J43" s="34" t="str">
        <x:f>IF(OR(G43="",I43=""),"",G43*I43)</x:f>
      </x:c>
    </x:row>
    <x:row r="44">
      <x:c r="E44" s="34"/>
      <x:c r="F44" s="34"/>
      <x:c r="G44" s="34"/>
      <x:c r="I44" s="37"/>
      <x:c r="J44" s="34" t="str">
        <x:f>IF(OR(G44="",I44=""),"",G44*I44)</x:f>
      </x:c>
    </x:row>
    <x:row r="45">
      <x:c r="E45" s="34"/>
      <x:c r="F45" s="34"/>
      <x:c r="G45" s="34"/>
      <x:c r="I45" s="37"/>
      <x:c r="J45" s="34" t="str">
        <x:f>IF(OR(G45="",I45=""),"",G45*I45)</x:f>
      </x:c>
    </x:row>
    <x:row r="46">
      <x:c r="E46" s="34"/>
      <x:c r="F46" s="34"/>
      <x:c r="G46" s="34"/>
      <x:c r="I46" s="37"/>
      <x:c r="J46" s="34" t="str">
        <x:f>IF(OR(G46="",I46=""),"",G46*I46)</x:f>
      </x:c>
    </x:row>
    <x:row r="47">
      <x:c r="E47" s="34"/>
      <x:c r="F47" s="34"/>
      <x:c r="G47" s="34"/>
      <x:c r="I47" s="37"/>
      <x:c r="J47" s="34" t="str">
        <x:f>IF(OR(G47="",I47=""),"",G47*I47)</x:f>
      </x:c>
    </x:row>
    <x:row r="48">
      <x:c r="E48" s="34"/>
      <x:c r="F48" s="34"/>
      <x:c r="G48" s="34"/>
      <x:c r="I48" s="37"/>
      <x:c r="J48" s="34" t="str">
        <x:f>IF(OR(G48="",I48=""),"",G48*I48)</x:f>
      </x:c>
    </x:row>
    <x:row r="49">
      <x:c r="E49" s="34"/>
      <x:c r="F49" s="34"/>
      <x:c r="G49" s="34"/>
      <x:c r="I49" s="37"/>
      <x:c r="J49" s="34" t="str">
        <x:f>IF(OR(G49="",I49=""),"",G49*I49)</x:f>
      </x:c>
    </x:row>
    <x:row r="50">
      <x:c r="E50" s="34"/>
      <x:c r="F50" s="34"/>
      <x:c r="G50" s="34"/>
      <x:c r="I50" s="37"/>
      <x:c r="J50" s="34" t="str">
        <x:f>IF(OR(G50="",I50=""),"",G50*I50)</x:f>
      </x:c>
    </x:row>
    <x:row r="51">
      <x:c r="E51" s="34"/>
      <x:c r="F51" s="34"/>
      <x:c r="G51" s="34"/>
      <x:c r="I51" s="37"/>
      <x:c r="J51" s="34" t="str">
        <x:f>IF(OR(G51="",I51=""),"",G51*I51)</x:f>
      </x:c>
    </x:row>
    <x:row r="52">
      <x:c r="E52" s="34"/>
      <x:c r="F52" s="34"/>
      <x:c r="G52" s="34"/>
      <x:c r="I52" s="37"/>
      <x:c r="J52" s="34" t="str">
        <x:f>IF(OR(G52="",I52=""),"",G52*I52)</x:f>
      </x:c>
    </x:row>
    <x:row r="53">
      <x:c r="E53" s="34"/>
      <x:c r="F53" s="34"/>
      <x:c r="G53" s="34"/>
      <x:c r="I53" s="37"/>
      <x:c r="J53" s="34" t="str">
        <x:f>IF(OR(G53="",I53=""),"",G53*I53)</x:f>
      </x:c>
    </x:row>
    <x:row r="54">
      <x:c r="E54" s="34"/>
      <x:c r="F54" s="34"/>
      <x:c r="G54" s="34"/>
      <x:c r="I54" s="37"/>
      <x:c r="J54" s="34" t="str">
        <x:f>IF(OR(G54="",I54=""),"",G54*I54)</x:f>
      </x:c>
    </x:row>
    <x:row r="55">
      <x:c r="E55" s="34"/>
      <x:c r="F55" s="34"/>
      <x:c r="G55" s="34"/>
      <x:c r="I55" s="37"/>
      <x:c r="J55" s="34" t="str">
        <x:f>IF(OR(G55="",I55=""),"",G55*I55)</x:f>
      </x:c>
    </x:row>
    <x:row r="56">
      <x:c r="E56" s="34"/>
      <x:c r="F56" s="34"/>
      <x:c r="G56" s="34"/>
      <x:c r="I56" s="37"/>
      <x:c r="J56" s="34" t="str">
        <x:f>IF(OR(G56="",I56=""),"",G56*I56)</x:f>
      </x:c>
    </x:row>
    <x:row r="57">
      <x:c r="E57" s="34"/>
      <x:c r="F57" s="34"/>
      <x:c r="G57" s="34"/>
      <x:c r="I57" s="37"/>
      <x:c r="J57" s="34" t="str">
        <x:f>IF(OR(G57="",I57=""),"",G57*I57)</x:f>
      </x:c>
    </x:row>
    <x:row r="58">
      <x:c r="E58" s="34"/>
      <x:c r="F58" s="34"/>
      <x:c r="G58" s="34"/>
      <x:c r="I58" s="37"/>
      <x:c r="J58" s="34" t="str">
        <x:f>IF(OR(G58="",I58=""),"",G58*I58)</x:f>
      </x:c>
    </x:row>
    <x:row r="59">
      <x:c r="E59" s="34"/>
      <x:c r="F59" s="34"/>
      <x:c r="G59" s="34"/>
      <x:c r="I59" s="37"/>
      <x:c r="J59" s="34" t="str">
        <x:f>IF(OR(G59="",I59=""),"",G59*I59)</x:f>
      </x:c>
    </x:row>
    <x:row r="60">
      <x:c r="E60" s="34"/>
      <x:c r="F60" s="34"/>
      <x:c r="G60" s="34"/>
      <x:c r="I60" s="37"/>
      <x:c r="J60" s="34" t="str">
        <x:f>IF(OR(G60="",I60=""),"",G60*I60)</x:f>
      </x:c>
    </x:row>
    <x:row r="61">
      <x:c r="E61" s="34"/>
      <x:c r="F61" s="34"/>
      <x:c r="G61" s="34"/>
      <x:c r="I61" s="37"/>
      <x:c r="J61" s="34" t="str">
        <x:f>IF(OR(G61="",I61=""),"",G61*I61)</x:f>
      </x:c>
    </x:row>
    <x:row r="62">
      <x:c r="E62" s="34"/>
      <x:c r="F62" s="34"/>
      <x:c r="G62" s="34"/>
      <x:c r="I62" s="37"/>
      <x:c r="J62" s="34" t="str">
        <x:f>IF(OR(G62="",I62=""),"",G62*I62)</x:f>
      </x:c>
    </x:row>
    <x:row r="63">
      <x:c r="E63" s="34"/>
      <x:c r="F63" s="34"/>
      <x:c r="G63" s="34"/>
      <x:c r="I63" s="37"/>
      <x:c r="J63" s="34" t="str">
        <x:f>IF(OR(G63="",I63=""),"",G63*I63)</x:f>
      </x:c>
    </x:row>
    <x:row r="64">
      <x:c r="E64" s="34"/>
      <x:c r="F64" s="34"/>
      <x:c r="G64" s="34"/>
      <x:c r="I64" s="37"/>
      <x:c r="J64" s="34" t="str">
        <x:f>IF(OR(G64="",I64=""),"",G64*I64)</x:f>
      </x:c>
    </x:row>
    <x:row r="65">
      <x:c r="E65" s="34"/>
      <x:c r="F65" s="34"/>
      <x:c r="G65" s="34"/>
      <x:c r="I65" s="37"/>
      <x:c r="J65" s="34" t="str">
        <x:f>IF(OR(G65="",I65=""),"",G65*I65)</x:f>
      </x:c>
    </x:row>
    <x:row r="66">
      <x:c r="E66" s="34"/>
      <x:c r="F66" s="34"/>
      <x:c r="G66" s="34"/>
      <x:c r="I66" s="37"/>
      <x:c r="J66" s="34" t="str">
        <x:f>IF(OR(G66="",I66=""),"",G66*I66)</x:f>
      </x:c>
    </x:row>
    <x:row r="67">
      <x:c r="E67" s="34"/>
      <x:c r="F67" s="34"/>
      <x:c r="G67" s="34"/>
      <x:c r="I67" s="37"/>
      <x:c r="J67" s="34" t="str">
        <x:f>IF(OR(G67="",I67=""),"",G67*I67)</x:f>
      </x:c>
    </x:row>
    <x:row r="68">
      <x:c r="E68" s="34"/>
      <x:c r="F68" s="34"/>
      <x:c r="G68" s="34"/>
      <x:c r="I68" s="37"/>
      <x:c r="J68" s="34" t="str">
        <x:f>IF(OR(G68="",I68=""),"",G68*I68)</x:f>
      </x:c>
    </x:row>
    <x:row r="69">
      <x:c r="E69" s="34"/>
      <x:c r="F69" s="34"/>
      <x:c r="G69" s="34"/>
      <x:c r="I69" s="37"/>
      <x:c r="J69" s="34" t="str">
        <x:f>IF(OR(G69="",I69=""),"",G69*I69)</x:f>
      </x:c>
    </x:row>
    <x:row r="70">
      <x:c r="E70" s="34"/>
      <x:c r="F70" s="34"/>
      <x:c r="G70" s="34"/>
      <x:c r="I70" s="37"/>
      <x:c r="J70" s="34" t="str">
        <x:f>IF(OR(G70="",I70=""),"",G70*I70)</x:f>
      </x:c>
    </x:row>
    <x:row r="71">
      <x:c r="E71" s="34"/>
      <x:c r="F71" s="34"/>
      <x:c r="G71" s="34"/>
      <x:c r="I71" s="37"/>
      <x:c r="J71" s="34" t="str">
        <x:f>IF(OR(G71="",I71=""),"",G71*I71)</x:f>
      </x:c>
    </x:row>
    <x:row r="72">
      <x:c r="E72" s="34"/>
      <x:c r="F72" s="34"/>
      <x:c r="G72" s="34"/>
      <x:c r="I72" s="37"/>
      <x:c r="J72" s="34" t="str">
        <x:f>IF(OR(G72="",I72=""),"",G72*I72)</x:f>
      </x:c>
    </x:row>
    <x:row r="73">
      <x:c r="E73" s="34"/>
      <x:c r="F73" s="34"/>
      <x:c r="G73" s="34"/>
      <x:c r="I73" s="37"/>
      <x:c r="J73" s="34" t="str">
        <x:f>IF(OR(G73="",I73=""),"",G73*I73)</x:f>
      </x:c>
    </x:row>
    <x:row r="74">
      <x:c r="E74" s="34"/>
      <x:c r="F74" s="34"/>
      <x:c r="G74" s="34"/>
      <x:c r="I74" s="37"/>
      <x:c r="J74" s="34" t="str">
        <x:f>IF(OR(G74="",I74=""),"",G74*I74)</x:f>
      </x:c>
    </x:row>
    <x:row r="75">
      <x:c r="E75" s="34"/>
      <x:c r="F75" s="34"/>
      <x:c r="G75" s="34"/>
      <x:c r="I75" s="37"/>
      <x:c r="J75" s="34" t="str">
        <x:f>IF(OR(G75="",I75=""),"",G75*I75)</x:f>
      </x:c>
    </x:row>
    <x:row r="76">
      <x:c r="E76" s="34"/>
      <x:c r="F76" s="34"/>
      <x:c r="G76" s="34"/>
      <x:c r="I76" s="37"/>
      <x:c r="J76" s="34" t="str">
        <x:f>IF(OR(G76="",I76=""),"",G76*I76)</x:f>
      </x:c>
    </x:row>
    <x:row r="77">
      <x:c r="E77" s="34"/>
      <x:c r="F77" s="34"/>
      <x:c r="G77" s="34"/>
      <x:c r="I77" s="37"/>
      <x:c r="J77" s="34" t="str">
        <x:f>IF(OR(G77="",I77=""),"",G77*I77)</x:f>
      </x:c>
    </x:row>
    <x:row r="78">
      <x:c r="E78" s="34"/>
      <x:c r="F78" s="34"/>
      <x:c r="G78" s="34"/>
      <x:c r="I78" s="37"/>
      <x:c r="J78" s="34" t="str">
        <x:f>IF(OR(G78="",I78=""),"",G78*I78)</x:f>
      </x:c>
    </x:row>
    <x:row r="79">
      <x:c r="E79" s="34"/>
      <x:c r="F79" s="34"/>
      <x:c r="G79" s="34"/>
      <x:c r="I79" s="37"/>
      <x:c r="J79" s="34" t="str">
        <x:f>IF(OR(G79="",I79=""),"",G79*I79)</x:f>
      </x:c>
    </x:row>
    <x:row r="80">
      <x:c r="E80" s="34"/>
      <x:c r="F80" s="34"/>
      <x:c r="G80" s="34"/>
      <x:c r="I80" s="37"/>
      <x:c r="J80" s="34" t="str">
        <x:f>IF(OR(G80="",I80=""),"",G80*I80)</x:f>
      </x:c>
    </x:row>
    <x:row r="81">
      <x:c r="E81" s="34"/>
      <x:c r="F81" s="34"/>
      <x:c r="G81" s="34"/>
      <x:c r="I81" s="37"/>
      <x:c r="J81" s="34" t="str">
        <x:f>IF(OR(G81="",I81=""),"",G81*I81)</x:f>
      </x:c>
    </x:row>
    <x:row r="82">
      <x:c r="E82" s="34"/>
      <x:c r="F82" s="34"/>
      <x:c r="G82" s="34"/>
      <x:c r="I82" s="37"/>
      <x:c r="J82" s="34" t="str">
        <x:f>IF(OR(G82="",I82=""),"",G82*I82)</x:f>
      </x:c>
    </x:row>
    <x:row r="83">
      <x:c r="E83" s="34"/>
      <x:c r="F83" s="34"/>
      <x:c r="G83" s="34"/>
      <x:c r="I83" s="37"/>
      <x:c r="J83" s="34" t="str">
        <x:f>IF(OR(G83="",I83=""),"",G83*I83)</x:f>
      </x:c>
    </x:row>
    <x:row r="84">
      <x:c r="E84" s="34"/>
      <x:c r="F84" s="34"/>
      <x:c r="G84" s="34"/>
      <x:c r="I84" s="37"/>
      <x:c r="J84" s="34" t="str">
        <x:f>IF(OR(G84="",I84=""),"",G84*I84)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8" hidden="0" customWidth="1"/>
    <x:col min="8" max="8" width="28" hidden="0" customWidth="1"/>
  </x:cols>
  <x:sheetData>
    <x:row r="1">
      <x:c r="A1" s="2" t="str">
        <x:v>Home Office Worksheet</x:v>
      </x:c>
      <x:c r="B1" s="2"/>
      <x:c r="C1" s="2"/>
      <x:c r="D1" s="2"/>
      <x:c r="E1" s="2"/>
      <x:c r="F1" s="2"/>
      <x:c r="G1" s="2"/>
      <x:c r="H1" s="2"/>
    </x:row>
    <x:row r="2">
      <x:c r="A2" s="5" t="str">
        <x:v>CPA decides simplified vs actual method. This sheet collects measurements and cost evidence; qualifying exclusive business use still matters.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Input</x:v>
      </x:c>
      <x:c r="B4" s="10" t="str">
        <x:v>Value</x:v>
      </x:c>
      <x:c r="C4" s="10" t="str">
        <x:v>Source / Evidence</x:v>
      </x:c>
      <x:c r="D4" s="11" t="str">
        <x:v>Notes</x:v>
      </x:c>
    </x:row>
    <x:row r="5">
      <x:c r="A5" s="18" t="str">
        <x:v>Exclusive business area sq ft</x:v>
      </x:c>
      <x:c r="B5" s="19" t="str"/>
      <x:c r="C5" s="19" t="str">
        <x:v>Measurement / photo</x:v>
      </x:c>
      <x:c r="D5" s="20" t="str"/>
    </x:row>
    <x:row r="6">
      <x:c r="A6" s="18" t="str">
        <x:v>Total home sq ft</x:v>
      </x:c>
      <x:c r="B6" s="19" t="str"/>
      <x:c r="C6" s="19" t="str">
        <x:v>Lease, appraisal, measurement</x:v>
      </x:c>
      <x:c r="D6" s="20" t="str"/>
    </x:row>
    <x:row r="7">
      <x:c r="A7" s="18" t="str">
        <x:v>Business-use %</x:v>
      </x:c>
      <x:c r="B7" s="38" t="n">
        <x:f>IFERROR(B5/B6,0)</x:f>
        <x:v>0</x:v>
      </x:c>
      <x:c r="C7" s="19" t="str">
        <x:v>Formula</x:v>
      </x:c>
      <x:c r="D7" s="20" t="str"/>
    </x:row>
    <x:row r="8">
      <x:c r="A8" s="18" t="str">
        <x:v>Months eligible in year</x:v>
      </x:c>
      <x:c r="B8" s="19" t="str"/>
      <x:c r="C8" s="19" t="str">
        <x:v>Start date / usage log</x:v>
      </x:c>
      <x:c r="D8" s="20" t="str"/>
    </x:row>
    <x:row r="9">
      <x:c r="A9" s="21" t="str">
        <x:v>Simplified method estimate</x:v>
      </x:c>
      <x:c r="B9" s="33" t="n">
        <x:f>IFERROR(MIN(B5,300)*5*B8/12,0)</x:f>
        <x:v>0</x:v>
      </x:c>
      <x:c r="C9" s="22" t="str">
        <x:v>Formula</x:v>
      </x:c>
      <x:c r="D9" s="23" t="str">
        <x:v>CPA decides whether to elect.</x:v>
      </x:c>
    </x:row>
    <x:row r="12">
      <x:c r="A12" s="9" t="str">
        <x:v>Expense</x:v>
      </x:c>
      <x:c r="B12" s="10" t="str">
        <x:v>Annual Amount</x:v>
      </x:c>
      <x:c r="C12" s="10" t="str">
        <x:v>Direct / Indirect</x:v>
      </x:c>
      <x:c r="D12" s="10" t="str">
        <x:v>Business %</x:v>
      </x:c>
      <x:c r="E12" s="10" t="str">
        <x:v>Potential Business Allocation</x:v>
      </x:c>
      <x:c r="F12" s="10" t="str">
        <x:v>Evidence Link</x:v>
      </x:c>
      <x:c r="G12" s="11" t="str">
        <x:v>CPA Notes</x:v>
      </x:c>
    </x:row>
    <x:row r="13">
      <x:c r="A13" s="18" t="str">
        <x:v>Rent or mortgage interest</x:v>
      </x:c>
      <x:c r="B13" s="32" t="str"/>
      <x:c r="C13" s="19" t="str">
        <x:v>Indirect</x:v>
      </x:c>
      <x:c r="D13" s="38" t="n">
        <x:f>B7</x:f>
        <x:v>0</x:v>
      </x:c>
      <x:c r="E13" s="32" t="str">
        <x:f>IF(OR(B13="",D13=""),"",B13*D13)</x:f>
      </x:c>
      <x:c r="F13" s="19" t="str"/>
      <x:c r="G13" s="20" t="str"/>
    </x:row>
    <x:row r="14">
      <x:c r="A14" s="18" t="str">
        <x:v>Utilities</x:v>
      </x:c>
      <x:c r="B14" s="32" t="str"/>
      <x:c r="C14" s="19" t="str">
        <x:v>Indirect</x:v>
      </x:c>
      <x:c r="D14" s="38" t="n">
        <x:f>B7</x:f>
        <x:v>0</x:v>
      </x:c>
      <x:c r="E14" s="32" t="str">
        <x:f>IF(OR(B14="",D14=""),"",B14*D14)</x:f>
      </x:c>
      <x:c r="F14" s="19" t="str"/>
      <x:c r="G14" s="20" t="str"/>
    </x:row>
    <x:row r="15">
      <x:c r="A15" s="18" t="str">
        <x:v>Internet</x:v>
      </x:c>
      <x:c r="B15" s="32" t="str"/>
      <x:c r="C15" s="19" t="str">
        <x:v>Indirect</x:v>
      </x:c>
      <x:c r="D15" s="38" t="str"/>
      <x:c r="E15" s="32" t="str">
        <x:f>IF(OR(B15="",D15=""),"",B15*D15)</x:f>
      </x:c>
      <x:c r="F15" s="19" t="str"/>
      <x:c r="G15" s="20" t="str">
        <x:v>Use CPA-approved business-use allocation.</x:v>
      </x:c>
    </x:row>
    <x:row r="16">
      <x:c r="A16" s="18" t="str">
        <x:v>Insurance</x:v>
      </x:c>
      <x:c r="B16" s="32" t="str"/>
      <x:c r="C16" s="19" t="str">
        <x:v>Indirect</x:v>
      </x:c>
      <x:c r="D16" s="38" t="n">
        <x:f>B7</x:f>
        <x:v>0</x:v>
      </x:c>
      <x:c r="E16" s="32" t="str">
        <x:f>IF(OR(B16="",D16=""),"",B16*D16)</x:f>
      </x:c>
      <x:c r="F16" s="19" t="str"/>
      <x:c r="G16" s="20" t="str"/>
    </x:row>
    <x:row r="17">
      <x:c r="A17" s="18" t="str">
        <x:v>Repairs - direct office</x:v>
      </x:c>
      <x:c r="B17" s="32" t="str"/>
      <x:c r="C17" s="19" t="str">
        <x:v>Direct</x:v>
      </x:c>
      <x:c r="D17" s="38" t="str">
        <x:v>100%</x:v>
      </x:c>
      <x:c r="E17" s="32" t="str">
        <x:f>IF(OR(B17="",D17=""),"",B17*D17)</x:f>
      </x:c>
      <x:c r="F17" s="19" t="str"/>
      <x:c r="G17" s="20" t="str"/>
    </x:row>
    <x:row r="18">
      <x:c r="A18" s="18" t="str">
        <x:v>Repairs - whole home</x:v>
      </x:c>
      <x:c r="B18" s="32" t="str"/>
      <x:c r="C18" s="19" t="str">
        <x:v>Indirect</x:v>
      </x:c>
      <x:c r="D18" s="38" t="n">
        <x:f>B7</x:f>
        <x:v>0</x:v>
      </x:c>
      <x:c r="E18" s="32" t="str">
        <x:f>IF(OR(B18="",D18=""),"",B18*D18)</x:f>
      </x:c>
      <x:c r="F18" s="19" t="str"/>
      <x:c r="G18" s="20" t="str"/>
    </x:row>
    <x:row r="19">
      <x:c r="A19" s="18" t="str">
        <x:v>Office-only supplies</x:v>
      </x:c>
      <x:c r="B19" s="32" t="str"/>
      <x:c r="C19" s="19" t="str">
        <x:v>Direct</x:v>
      </x:c>
      <x:c r="D19" s="38" t="str">
        <x:v>100%</x:v>
      </x:c>
      <x:c r="E19" s="32" t="str">
        <x:f>IF(OR(B19="",D19=""),"",B19*D19)</x:f>
      </x:c>
      <x:c r="F19" s="19" t="str"/>
      <x:c r="G19" s="20" t="str"/>
    </x:row>
    <x:row r="20">
      <x:c r="A20" s="18" t="str">
        <x:v>Other</x:v>
      </x:c>
      <x:c r="B20" s="32" t="str"/>
      <x:c r="C20" s="19" t="str"/>
      <x:c r="D20" s="38" t="str"/>
      <x:c r="E20" s="32" t="str">
        <x:f>IF(OR(B20="",D20=""),"",B20*D20)</x:f>
      </x:c>
      <x:c r="F20" s="19" t="str"/>
      <x:c r="G20" s="20" t="str"/>
    </x:row>
    <x:row r="21">
      <x:c r="A21" s="21" t="str">
        <x:v>Total actual-method evidence</x:v>
      </x:c>
      <x:c r="B21" s="33" t="n">
        <x:f>SUM(B13:B20)</x:f>
        <x:v>0</x:v>
      </x:c>
      <x:c r="C21" s="22" t="str"/>
      <x:c r="D21" s="22" t="str"/>
      <x:c r="E21" s="33" t="n">
        <x:f>SUM(E13:E20)</x:f>
        <x:v>0</x:v>
      </x:c>
      <x:c r="F21" s="22" t="str"/>
      <x:c r="G21" s="2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6" hidden="0" customWidth="1"/>
    <x:col min="7" max="7" width="18" hidden="0" customWidth="1"/>
    <x:col min="8" max="8" width="18" hidden="0" customWidth="1"/>
    <x:col min="9" max="9" width="22" hidden="0" customWidth="1"/>
    <x:col min="10" max="10" width="34" hidden="0" customWidth="1"/>
  </x:cols>
  <x:sheetData>
    <x:row r="1">
      <x:c r="A1" s="2" t="str">
        <x:v>Software And IP Schedule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5" t="str">
        <x:v>Track robot-control software and ADA-related code before attorney and CPA review.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9" t="str">
        <x:v>Software / Repo</x:v>
      </x:c>
      <x:c r="B4" s="10" t="str">
        <x:v>Current Owner</x:v>
      </x:c>
      <x:c r="C4" s="10" t="str">
        <x:v>Transfer Type</x:v>
      </x:c>
      <x:c r="D4" s="10" t="str">
        <x:v>Included Scope</x:v>
      </x:c>
      <x:c r="E4" s="10" t="str">
        <x:v>Dependencies / Licenses</x:v>
      </x:c>
      <x:c r="F4" s="10" t="str">
        <x:v>Business Purpose</x:v>
      </x:c>
      <x:c r="G4" s="10" t="str">
        <x:v>Proposed Value</x:v>
      </x:c>
      <x:c r="H4" s="10" t="str">
        <x:v>Value Support</x:v>
      </x:c>
      <x:c r="I4" s="10" t="str">
        <x:v>CPA Treatment</x:v>
      </x:c>
      <x:c r="J4" s="11" t="str">
        <x:v>Attorney Notes</x:v>
      </x:c>
    </x:row>
    <x:row r="5">
      <x:c r="A5" s="18" t="str">
        <x:v>Robot-control software</x:v>
      </x:c>
      <x:c r="B5" s="19" t="str">
        <x:v>Adam</x:v>
      </x:c>
      <x:c r="C5" s="19" t="str">
        <x:v>Assignment or license</x:v>
      </x:c>
      <x:c r="D5" s="19" t="str">
        <x:v>Robot runtime, control modules, docs</x:v>
      </x:c>
      <x:c r="E5" s="19" t="str">
        <x:v>TBD</x:v>
      </x:c>
      <x:c r="F5" s="19" t="str">
        <x:v>Run ADA robot and demos</x:v>
      </x:c>
      <x:c r="G5" s="32" t="str"/>
      <x:c r="H5" s="19" t="str"/>
      <x:c r="I5" s="19" t="str">
        <x:v>Review</x:v>
      </x:c>
      <x:c r="J5" s="20" t="str"/>
    </x:row>
    <x:row r="6">
      <x:c r="A6" s="21" t="str">
        <x:v>ADA-related Zero code</x:v>
      </x:c>
      <x:c r="B6" s="22" t="str">
        <x:v>Adam / ADA</x:v>
      </x:c>
      <x:c r="C6" s="22" t="str">
        <x:v>Assignment or license</x:v>
      </x:c>
      <x:c r="D6" s="22" t="str">
        <x:v>Company OS, finance workflow, integrations</x:v>
      </x:c>
      <x:c r="E6" s="22" t="str">
        <x:v>TBD</x:v>
      </x:c>
      <x:c r="F6" s="22" t="str">
        <x:v>Operate ADA AI LLC</x:v>
      </x:c>
      <x:c r="G6" s="33" t="str"/>
      <x:c r="H6" s="22" t="str"/>
      <x:c r="I6" s="22" t="str">
        <x:v>Review</x:v>
      </x:c>
      <x:c r="J6" s="23" t="str"/>
    </x:row>
    <x:row r="7">
      <x:c r="G7" s="34"/>
    </x:row>
    <x:row r="8">
      <x:c r="G8" s="34"/>
    </x:row>
    <x:row r="9">
      <x:c r="G9" s="34"/>
    </x:row>
    <x:row r="10">
      <x:c r="G10" s="34"/>
    </x:row>
    <x:row r="11">
      <x:c r="G11" s="34"/>
    </x:row>
    <x:row r="12">
      <x:c r="G12" s="34"/>
    </x:row>
    <x:row r="13">
      <x:c r="G13" s="34"/>
    </x:row>
    <x:row r="14">
      <x:c r="G14" s="34"/>
    </x:row>
    <x:row r="15">
      <x:c r="G15" s="34"/>
    </x:row>
    <x:row r="16">
      <x:c r="G16" s="34"/>
    </x:row>
    <x:row r="17">
      <x:c r="G17" s="34"/>
    </x:row>
    <x:row r="18">
      <x:c r="G18" s="34"/>
    </x:row>
    <x:row r="19">
      <x:c r="G19" s="34"/>
    </x:row>
    <x:row r="20">
      <x:c r="G20" s="34"/>
    </x:row>
    <x:row r="21">
      <x:c r="G21" s="34"/>
    </x:row>
    <x:row r="22">
      <x:c r="G22" s="34"/>
    </x:row>
    <x:row r="23">
      <x:c r="G23" s="34"/>
    </x:row>
    <x:row r="24">
      <x:c r="G24" s="34"/>
    </x:row>
    <x:row r="25">
      <x:c r="G25" s="34"/>
    </x:row>
    <x:row r="26">
      <x:c r="G26" s="34"/>
    </x:row>
    <x:row r="27">
      <x:c r="G27" s="34"/>
    </x:row>
    <x:row r="28">
      <x:c r="G28" s="34"/>
    </x:row>
    <x:row r="29">
      <x:c r="G29" s="34"/>
    </x:row>
    <x:row r="30">
      <x:c r="G30" s="34"/>
    </x:row>
    <x:row r="31">
      <x:c r="G31" s="34"/>
    </x:row>
    <x:row r="32">
      <x:c r="G32" s="34"/>
    </x:row>
    <x:row r="33">
      <x:c r="G33" s="34"/>
    </x:row>
    <x:row r="34">
      <x:c r="G34" s="34"/>
    </x:row>
    <x:row r="35">
      <x:c r="G35" s="34"/>
    </x:row>
    <x:row r="36">
      <x:c r="G36" s="34"/>
    </x:row>
    <x:row r="37">
      <x:c r="G37" s="34"/>
    </x:row>
    <x:row r="38">
      <x:c r="G38" s="34"/>
    </x:row>
    <x:row r="39">
      <x:c r="G39" s="34"/>
    </x:row>
    <x:row r="40">
      <x:c r="G40" s="34"/>
    </x:row>
    <x:row r="41">
      <x:c r="G41" s="34"/>
    </x:row>
    <x:row r="42">
      <x:c r="G42" s="34"/>
    </x:row>
    <x:row r="43">
      <x:c r="G43" s="34"/>
    </x:row>
    <x:row r="44">
      <x:c r="G44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16" hidden="0" customWidth="1"/>
    <x:col min="5" max="5" width="30" hidden="0" customWidth="1"/>
    <x:col min="6" max="6" width="36" hidden="0" customWidth="1"/>
    <x:col min="7" max="7" width="24" hidden="0" customWidth="1"/>
  </x:cols>
  <x:sheetData>
    <x:row r="1">
      <x:c r="A1" s="2" t="str">
        <x:v>CPA Packet Tracker</x:v>
      </x:c>
      <x:c r="B1" s="2"/>
      <x:c r="C1" s="2"/>
      <x:c r="D1" s="2"/>
      <x:c r="E1" s="2"/>
      <x:c r="F1" s="2"/>
      <x:c r="G1" s="2"/>
    </x:row>
    <x:row r="2">
      <x:c r="A2" s="5" t="str">
        <x:v>Use this sheet as the packet cover before the first CPA setup consult and each monthly close.</x:v>
      </x:c>
      <x:c r="B2" s="5"/>
      <x:c r="C2" s="5"/>
      <x:c r="D2" s="5"/>
      <x:c r="E2" s="5"/>
      <x:c r="F2" s="5"/>
      <x:c r="G2" s="5"/>
    </x:row>
    <x:row r="4">
      <x:c r="A4" s="9" t="str">
        <x:v>Packet Item</x:v>
      </x:c>
      <x:c r="B4" s="10" t="str">
        <x:v>Owner</x:v>
      </x:c>
      <x:c r="C4" s="10" t="str">
        <x:v>Evidence</x:v>
      </x:c>
      <x:c r="D4" s="10" t="str">
        <x:v>Status</x:v>
      </x:c>
      <x:c r="E4" s="10" t="str">
        <x:v>Decision Needed</x:v>
      </x:c>
      <x:c r="F4" s="10" t="str">
        <x:v>Location</x:v>
      </x:c>
      <x:c r="G4" s="11" t="str">
        <x:v>Notes</x:v>
      </x:c>
    </x:row>
    <x:row r="5">
      <x:c r="A5" s="18" t="str">
        <x:v>EIN confirmation</x:v>
      </x:c>
      <x:c r="B5" s="19" t="str">
        <x:v>Finance</x:v>
      </x:c>
      <x:c r="C5" s="19" t="str">
        <x:v>CP 575 / confirmation letter</x:v>
      </x:c>
      <x:c r="D5" s="19" t="str">
        <x:v>Missing</x:v>
      </x:c>
      <x:c r="E5" s="19" t="str">
        <x:v>Confirm legal name and responsible party</x:v>
      </x:c>
      <x:c r="F5" s="19" t="str">
        <x:v>Secure company docs</x:v>
      </x:c>
      <x:c r="G5" s="20" t="str"/>
    </x:row>
    <x:row r="6">
      <x:c r="A6" s="18" t="str">
        <x:v>Operating agreement</x:v>
      </x:c>
      <x:c r="B6" s="19" t="str">
        <x:v>Legal</x:v>
      </x:c>
      <x:c r="C6" s="19" t="str">
        <x:v>Signed PDF</x:v>
      </x:c>
      <x:c r="D6" s="19" t="str">
        <x:v>Missing</x:v>
      </x:c>
      <x:c r="E6" s="19" t="str">
        <x:v>Confirm banking authorization</x:v>
      </x:c>
      <x:c r="F6" s="19" t="str">
        <x:v>Legal docs</x:v>
      </x:c>
      <x:c r="G6" s="20" t="str"/>
    </x:row>
    <x:row r="7">
      <x:c r="A7" s="18" t="str">
        <x:v>Bank/card decision log</x:v>
      </x:c>
      <x:c r="B7" s="19" t="str">
        <x:v>Finance</x:v>
      </x:c>
      <x:c r="C7" s="19" t="str">
        <x:v>Completed template</x:v>
      </x:c>
      <x:c r="D7" s="19" t="str">
        <x:v>Ready</x:v>
      </x:c>
      <x:c r="E7" s="19" t="str">
        <x:v>Choose bank/card</x:v>
      </x:c>
      <x:c r="F7" s="19" t="str">
        <x:v>templates/bank-card-decision-log.md</x:v>
      </x:c>
      <x:c r="G7" s="20" t="str"/>
    </x:row>
    <x:row r="8">
      <x:c r="A8" s="18" t="str">
        <x:v>P&amp;L / transaction export</x:v>
      </x:c>
      <x:c r="B8" s="19" t="str">
        <x:v>Finance</x:v>
      </x:c>
      <x:c r="C8" s="19" t="str">
        <x:v>Transactions sheet</x:v>
      </x:c>
      <x:c r="D8" s="19" t="str">
        <x:v>Partial</x:v>
      </x:c>
      <x:c r="E8" s="19" t="str">
        <x:v>Bookkeeping method</x:v>
      </x:c>
      <x:c r="F8" s="19" t="str">
        <x:v>Transactions</x:v>
      </x:c>
      <x:c r="G8" s="20" t="str"/>
    </x:row>
    <x:row r="9">
      <x:c r="A9" s="18" t="str">
        <x:v>Subscription register</x:v>
      </x:c>
      <x:c r="B9" s="19" t="str">
        <x:v>Finance</x:v>
      </x:c>
      <x:c r="C9" s="19" t="str">
        <x:v>Subscriptions sheet</x:v>
      </x:c>
      <x:c r="D9" s="19" t="str">
        <x:v>Ready</x:v>
      </x:c>
      <x:c r="E9" s="19" t="str">
        <x:v>Categories and business use</x:v>
      </x:c>
      <x:c r="F9" s="19" t="str">
        <x:v>Subscriptions</x:v>
      </x:c>
      <x:c r="G9" s="20" t="str"/>
    </x:row>
    <x:row r="10">
      <x:c r="A10" s="18" t="str">
        <x:v>Asset register</x:v>
      </x:c>
      <x:c r="B10" s="19" t="str">
        <x:v>Asset</x:v>
      </x:c>
      <x:c r="C10" s="19" t="str">
        <x:v>Assets sheet + photos</x:v>
      </x:c>
      <x:c r="D10" s="19" t="str">
        <x:v>Partial</x:v>
      </x:c>
      <x:c r="E10" s="19" t="str">
        <x:v>Transfer method and basis</x:v>
      </x:c>
      <x:c r="F10" s="19" t="str">
        <x:v>Assets</x:v>
      </x:c>
      <x:c r="G10" s="20" t="str"/>
    </x:row>
    <x:row r="11">
      <x:c r="A11" s="18" t="str">
        <x:v>Home-office worksheet</x:v>
      </x:c>
      <x:c r="B11" s="19" t="str">
        <x:v>Finance</x:v>
      </x:c>
      <x:c r="C11" s="19" t="str">
        <x:v>Measurements and receipts</x:v>
      </x:c>
      <x:c r="D11" s="19" t="str">
        <x:v>Partial</x:v>
      </x:c>
      <x:c r="E11" s="19" t="str">
        <x:v>Simplified vs actual method</x:v>
      </x:c>
      <x:c r="F11" s="19" t="str">
        <x:v>Home Office</x:v>
      </x:c>
      <x:c r="G11" s="20" t="str"/>
    </x:row>
    <x:row r="12">
      <x:c r="A12" s="18" t="str">
        <x:v>IP/software schedule</x:v>
      </x:c>
      <x:c r="B12" s="19" t="str">
        <x:v>Legal</x:v>
      </x:c>
      <x:c r="C12" s="19" t="str">
        <x:v>IP schedule</x:v>
      </x:c>
      <x:c r="D12" s="19" t="str">
        <x:v>Ready</x:v>
      </x:c>
      <x:c r="E12" s="19" t="str">
        <x:v>Assignment/license and tax treatment</x:v>
      </x:c>
      <x:c r="F12" s="19" t="str">
        <x:v>IP &amp; Software</x:v>
      </x:c>
      <x:c r="G12" s="20" t="str"/>
    </x:row>
    <x:row r="13">
      <x:c r="A13" s="21" t="str">
        <x:v>CPA decisions list</x:v>
      </x:c>
      <x:c r="B13" s="22" t="str">
        <x:v>Finance</x:v>
      </x:c>
      <x:c r="C13" s="22" t="str">
        <x:v>Agenda</x:v>
      </x:c>
      <x:c r="D13" s="22" t="str">
        <x:v>Ready</x:v>
      </x:c>
      <x:c r="E13" s="22" t="str">
        <x:v>All open decisions</x:v>
      </x:c>
      <x:c r="F13" s="22" t="str">
        <x:v>templates/cpa-setup-agenda.md</x:v>
      </x:c>
      <x:c r="G13" s="2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52" hidden="0" customWidth="1"/>
    <x:col min="4" max="4" width="24" hidden="0" customWidth="1"/>
    <x:col min="5" max="5" width="36" hidden="0" customWidth="1"/>
  </x:cols>
  <x:sheetData>
    <x:row r="1">
      <x:c r="A1" s="2" t="str">
        <x:v>Source Links And Guardrails</x:v>
      </x:c>
      <x:c r="B1" s="2"/>
      <x:c r="C1" s="2"/>
      <x:c r="D1" s="2"/>
      <x:c r="E1" s="2"/>
    </x:row>
    <x:row r="2">
      <x:c r="A2" s="5" t="str">
        <x:v>Official sources and implementation guardrails for the setup workbook.</x:v>
      </x:c>
      <x:c r="B2" s="5"/>
      <x:c r="C2" s="5"/>
      <x:c r="D2" s="5"/>
      <x:c r="E2" s="5"/>
    </x:row>
    <x:row r="4">
      <x:c r="A4" s="9" t="str">
        <x:v>Source</x:v>
      </x:c>
      <x:c r="B4" s="10" t="str">
        <x:v>URL</x:v>
      </x:c>
      <x:c r="C4" s="10" t="str">
        <x:v>Why it matters</x:v>
      </x:c>
      <x:c r="D4" s="10" t="str">
        <x:v>Last checked</x:v>
      </x:c>
      <x:c r="E4" s="11" t="str">
        <x:v>Workbook control</x:v>
      </x:c>
    </x:row>
    <x:row r="5">
      <x:c r="A5" s="18" t="str">
        <x:v>IRS EIN</x:v>
      </x:c>
      <x:c r="B5" s="19" t="str">
        <x:v>https://www.irs.gov/businesses/employer-identification-number</x:v>
      </x:c>
      <x:c r="C5" s="19" t="str">
        <x:v>EIN is free through IRS and used for banking/tax identity.</x:v>
      </x:c>
      <x:c r="D5" s="19" t="str">
        <x:v>2026-05-05</x:v>
      </x:c>
      <x:c r="E5" s="20" t="str">
        <x:v>EIN setup step</x:v>
      </x:c>
    </x:row>
    <x:row r="6">
      <x:c r="A6" s="18" t="str">
        <x:v>IRS EIN assistant</x:v>
      </x:c>
      <x:c r="B6" s="19" t="str">
        <x:v>https://www.irs.gov/businesses/small-businesses-self-employed/get-an-employer-identification-number</x:v>
      </x:c>
      <x:c r="C6" s="19" t="str">
        <x:v>Direct online application path.</x:v>
      </x:c>
      <x:c r="D6" s="19" t="str">
        <x:v>2026-05-05</x:v>
      </x:c>
      <x:c r="E6" s="20" t="str">
        <x:v>EIN setup step</x:v>
      </x:c>
    </x:row>
    <x:row r="7">
      <x:c r="A7" s="18" t="str">
        <x:v>IRS SMLLC</x:v>
      </x:c>
      <x:c r="B7" s="19" t="str">
        <x:v>https://www.irs.gov/businesses/small-businesses-self-employed/single-member-limited-liability-companies</x:v>
      </x:c>
      <x:c r="C7" s="19" t="str">
        <x:v>Default disregarded-entity treatment.</x:v>
      </x:c>
      <x:c r="D7" s="19" t="str">
        <x:v>2026-05-05</x:v>
      </x:c>
      <x:c r="E7" s="20" t="str">
        <x:v>Operating stance</x:v>
      </x:c>
    </x:row>
    <x:row r="8">
      <x:c r="A8" s="18" t="str">
        <x:v>SBA bank account</x:v>
      </x:c>
      <x:c r="B8" s="19" t="str">
        <x:v>https://www.sba.gov/business-guide/launch-your-business/open-business-bank-account</x:v>
      </x:c>
      <x:c r="C8" s="19" t="str">
        <x:v>Bank account checklist after EIN.</x:v>
      </x:c>
      <x:c r="D8" s="19" t="str">
        <x:v>2026-05-05</x:v>
      </x:c>
      <x:c r="E8" s="20" t="str">
        <x:v>Bank packet</x:v>
      </x:c>
    </x:row>
    <x:row r="9">
      <x:c r="A9" s="18" t="str">
        <x:v>IRS Pub. 583</x:v>
      </x:c>
      <x:c r="B9" s="19" t="str">
        <x:v>https://www.irs.gov/publications/p583</x:v>
      </x:c>
      <x:c r="C9" s="19" t="str">
        <x:v>Separate records and supporting documents.</x:v>
      </x:c>
      <x:c r="D9" s="19" t="str">
        <x:v>2026-05-05</x:v>
      </x:c>
      <x:c r="E9" s="20" t="str">
        <x:v>Books and receipts</x:v>
      </x:c>
    </x:row>
    <x:row r="10">
      <x:c r="A10" s="18" t="str">
        <x:v>IRS Pub. 334</x:v>
      </x:c>
      <x:c r="B10" s="19" t="str">
        <x:v>https://www.irs.gov/publications/p334</x:v>
      </x:c>
      <x:c r="C10" s="19" t="str">
        <x:v>Ordinary and necessary business expense baseline.</x:v>
      </x:c>
      <x:c r="D10" s="19" t="str">
        <x:v>2026-05-05</x:v>
      </x:c>
      <x:c r="E10" s="20" t="str">
        <x:v>Transaction categories</x:v>
      </x:c>
    </x:row>
    <x:row r="11">
      <x:c r="A11" s="18" t="str">
        <x:v>IRS Pub. 587</x:v>
      </x:c>
      <x:c r="B11" s="19" t="str">
        <x:v>https://www.irs.gov/publications/p587</x:v>
      </x:c>
      <x:c r="C11" s="19" t="str">
        <x:v>Home-office simplified/actual evidence.</x:v>
      </x:c>
      <x:c r="D11" s="19" t="str">
        <x:v>2026-05-05</x:v>
      </x:c>
      <x:c r="E11" s="20" t="str">
        <x:v>Home Office</x:v>
      </x:c>
    </x:row>
    <x:row r="12">
      <x:c r="A12" s="18" t="str">
        <x:v>IRS Pub. 551</x:v>
      </x:c>
      <x:c r="B12" s="19" t="str">
        <x:v>https://www.irs.gov/publications/p551</x:v>
      </x:c>
      <x:c r="C12" s="19" t="str">
        <x:v>Basis, FMV, and unpaid labor guardrail.</x:v>
      </x:c>
      <x:c r="D12" s="19" t="str">
        <x:v>2026-05-05</x:v>
      </x:c>
      <x:c r="E12" s="20" t="str">
        <x:v>Assets</x:v>
      </x:c>
    </x:row>
    <x:row r="13">
      <x:c r="A13" s="18" t="str">
        <x:v>IRS Pub. 946</x:v>
      </x:c>
      <x:c r="B13" s="19" t="str">
        <x:v>https://www.irs.gov/publications/p946</x:v>
      </x:c>
      <x:c r="C13" s="19" t="str">
        <x:v>Depreciation and placed-in-service concepts.</x:v>
      </x:c>
      <x:c r="D13" s="19" t="str">
        <x:v>2026-05-05</x:v>
      </x:c>
      <x:c r="E13" s="20" t="str">
        <x:v>Assets</x:v>
      </x:c>
    </x:row>
    <x:row r="14">
      <x:c r="A14" s="18" t="str">
        <x:v>FinCEN BOI FAQ</x:v>
      </x:c>
      <x:c r="B14" s="19" t="str">
        <x:v>https://www.fincen.gov/index.php/boi-faqs</x:v>
      </x:c>
      <x:c r="C14" s="19" t="str">
        <x:v>Current domestic-entity federal BOI exemption note.</x:v>
      </x:c>
      <x:c r="D14" s="19" t="str">
        <x:v>2026-05-05</x:v>
      </x:c>
      <x:c r="E14" s="20" t="str">
        <x:v>Legal guardrail</x:v>
      </x:c>
    </x:row>
    <x:row r="15">
      <x:c r="A15" s="21" t="str">
        <x:v>Experian</x:v>
      </x:c>
      <x:c r="B15" s="22" t="str">
        <x:v>https://www.experian.com/blogs/ask-experian/do-business-credit-cards-show-up-on-a-personal-credit-report/</x:v>
      </x:c>
      <x:c r="C15" s="22" t="str">
        <x:v>Business card personal-credit reporting overview.</x:v>
      </x:c>
      <x:c r="D15" s="22" t="str">
        <x:v>2026-05-05</x:v>
      </x:c>
      <x:c r="E15" s="23" t="str">
        <x:v>Card policy log</x:v>
      </x:c>
    </x:row>
  </x:sheetData>
  <x:pageMargins left="0.7" right="0.7" top="0.75" bottom="0.75" header="0.3" footer="0.3"/>
</x:worksheet>
</file>